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etee/Downloads/"/>
    </mc:Choice>
  </mc:AlternateContent>
  <xr:revisionPtr revIDLastSave="0" documentId="8_{484480D3-5F08-744C-B880-F7B50D6494FB}" xr6:coauthVersionLast="47" xr6:coauthVersionMax="47" xr10:uidLastSave="{00000000-0000-0000-0000-000000000000}"/>
  <bookViews>
    <workbookView xWindow="3660" yWindow="2660" windowWidth="27640" windowHeight="16940" xr2:uid="{854CA6EE-110F-7042-9326-210382CDD2C1}"/>
  </bookViews>
  <sheets>
    <sheet name="gas_network" sheetId="1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Order1" hidden="1">0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able2_In1" localSheetId="0" hidden="1">#REF!</definedName>
    <definedName name="_Table2_In1" hidden="1">#REF!</definedName>
    <definedName name="_Table2_Out" localSheetId="0" hidden="1">#REF!</definedName>
    <definedName name="_Table2_Out" hidden="1">#REF!</definedName>
    <definedName name="AccessDatabase" hidden="1">"C:\Program Files\My Documents\pma\cat\Backlog\LCP 1.mdb"</definedName>
    <definedName name="dfeasdcv" localSheetId="0" hidden="1">#REF!</definedName>
    <definedName name="dfeasdcv" hidden="1">#REF!</definedName>
    <definedName name="dsds" localSheetId="0" hidden="1">#REF!</definedName>
    <definedName name="dsds" hidden="1">#REF!</definedName>
    <definedName name="efaefsdcxwe" localSheetId="0" hidden="1">#REF!</definedName>
    <definedName name="efaefsdcxwe" hidden="1">#REF!</definedName>
    <definedName name="erer" localSheetId="0" hidden="1">#REF!</definedName>
    <definedName name="erer" hidden="1">#REF!</definedName>
    <definedName name="Fill" localSheetId="0" hidden="1">#REF!</definedName>
    <definedName name="Fill" hidden="1">#REF!</definedName>
    <definedName name="helloworld" localSheetId="0" hidden="1">#REF!</definedName>
    <definedName name="helloworld" hidden="1">#REF!</definedName>
    <definedName name="NOTE" localSheetId="0" hidden="1">#REF!</definedName>
    <definedName name="NOTE" hidden="1">#REF!</definedName>
    <definedName name="PAGE_5" localSheetId="0" hidden="1">#REF!</definedName>
    <definedName name="PAGE_5" hidden="1">#REF!</definedName>
    <definedName name="pddfasdf" localSheetId="0" hidden="1">#REF!</definedName>
    <definedName name="pddfasdf" hidden="1">#REF!</definedName>
    <definedName name="pknpkj" localSheetId="0" hidden="1">#REF!</definedName>
    <definedName name="pknpkj" hidden="1">#REF!</definedName>
    <definedName name="ppppjpjpjpj" localSheetId="0" hidden="1">#REF!</definedName>
    <definedName name="ppppjpjpjpj" hidden="1">#REF!</definedName>
    <definedName name="qweqweqwe" localSheetId="0" hidden="1">#REF!</definedName>
    <definedName name="qweqweqwe" hidden="1">#REF!</definedName>
    <definedName name="sa" localSheetId="0" hidden="1">#REF!</definedName>
    <definedName name="sa" hidden="1">#REF!</definedName>
    <definedName name="sdflasdklfweklj" localSheetId="0" hidden="1">#REF!</definedName>
    <definedName name="sdflasdklfweklj" hidden="1">#REF!</definedName>
    <definedName name="sds" localSheetId="0" hidden="1">#REF!</definedName>
    <definedName name="sds" hidden="1">#REF!</definedName>
    <definedName name="solver_adj" localSheetId="0" hidden="1">gas_network!$D$18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gas_network!$D$18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gas_network!$D$19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erwe" localSheetId="0" hidden="1">#REF!</definedName>
    <definedName name="werwe" hidden="1">#REF!</definedName>
    <definedName name="wrn.3." hidden="1">{#N/A,#N/A,FALSE,"Macro2"}</definedName>
    <definedName name="wrn.equip.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LIST.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REPORT1." hidden="1">{"REPORT1",#N/A,FALSE,"NOV11 (2)"}</definedName>
    <definedName name="wrn.sertchai." hidden="1">{#N/A,#N/A,FALSE,"Macro2"}</definedName>
    <definedName name="zcvzdfqwefads" localSheetId="0" hidden="1">#REF!</definedName>
    <definedName name="zcvzdfqwefads" hidden="1">#REF!</definedName>
    <definedName name="ก" localSheetId="0" hidden="1">#REF!</definedName>
    <definedName name="ก" hidden="1">#REF!</definedName>
    <definedName name="กก" localSheetId="0" hidden="1">#REF!</definedName>
    <definedName name="กก" hidden="1">#REF!</definedName>
    <definedName name="ไ" localSheetId="0" hidden="1">#REF!</definedName>
    <definedName name="ไก" localSheetId="0" hidden="1">#REF!</definedName>
    <definedName name="ไก" hidden="1">#REF!</definedName>
    <definedName name="ดด" localSheetId="0" hidden="1">#REF!</definedName>
    <definedName name="ดด" hidden="1">#REF!</definedName>
    <definedName name="ไ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3" i="1"/>
  <c r="E31" i="1" l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Chakraphan Rojsattarat</author>
    <author>26004509</author>
    <author>20550073</author>
  </authors>
  <commentList>
    <comment ref="G6" authorId="0" shapeId="0" xr:uid="{7D5D9C77-9675-4446-B3C4-72C72E9D5C51}">
      <text>
        <r>
          <rPr>
            <sz val="8"/>
            <color indexed="81"/>
            <rFont val="Aptos Narrow"/>
            <family val="2"/>
            <scheme val="minor"/>
          </rPr>
          <t>Entry for activate the Calculation in segment.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" authorId="1" shapeId="0" xr:uid="{5B0E177E-842A-D846-9FB2-C4457B6A804C}">
      <text>
        <r>
          <rPr>
            <sz val="8"/>
            <color indexed="81"/>
            <rFont val="Calibri"/>
            <family val="2"/>
          </rPr>
          <t>Need only Vapor</t>
        </r>
      </text>
    </comment>
    <comment ref="G28" authorId="0" shapeId="0" xr:uid="{6898C29A-D4B9-194D-95DC-BB1021763E25}">
      <text>
        <r>
          <rPr>
            <sz val="8"/>
            <color indexed="81"/>
            <rFont val="Aptos Narrow"/>
            <family val="2"/>
            <scheme val="minor"/>
          </rPr>
          <t>Accurate value is only required for adiabatic flow</t>
        </r>
      </text>
    </comment>
    <comment ref="G29" authorId="0" shapeId="0" xr:uid="{21E11259-343D-7E49-8AFF-D34053C163BD}">
      <text>
        <r>
          <rPr>
            <sz val="8"/>
            <color indexed="81"/>
            <rFont val="Aptos Narrow"/>
            <family val="2"/>
            <scheme val="minor"/>
          </rPr>
          <t>Typically 
0.01 cP for gases
0.02 cP for steam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" authorId="2" shapeId="0" xr:uid="{C22C587D-419E-6E49-8520-7F43910B4295}">
      <text>
        <r>
          <rPr>
            <b/>
            <sz val="8"/>
            <color indexed="81"/>
            <rFont val="Calibri"/>
            <family val="2"/>
          </rPr>
          <t xml:space="preserve">           </t>
        </r>
        <r>
          <rPr>
            <sz val="8"/>
            <color indexed="81"/>
            <rFont val="Calibri"/>
            <family val="2"/>
          </rPr>
          <t xml:space="preserve"> </t>
        </r>
        <r>
          <rPr>
            <u/>
            <sz val="8"/>
            <color indexed="81"/>
            <rFont val="Calibri"/>
            <family val="2"/>
          </rPr>
          <t>Material</t>
        </r>
        <r>
          <rPr>
            <sz val="8"/>
            <color indexed="81"/>
            <rFont val="Calibri"/>
            <family val="2"/>
          </rPr>
          <t xml:space="preserve">  </t>
        </r>
        <r>
          <rPr>
            <b/>
            <sz val="8"/>
            <color indexed="81"/>
            <rFont val="Calibri"/>
            <family val="2"/>
          </rPr>
          <t xml:space="preserve">                                                                              </t>
        </r>
        <r>
          <rPr>
            <u/>
            <sz val="8"/>
            <color indexed="81"/>
            <rFont val="Calibri"/>
            <family val="2"/>
          </rPr>
          <t xml:space="preserve">Roughness (mm)
</t>
        </r>
        <r>
          <rPr>
            <sz val="8"/>
            <color indexed="81"/>
            <rFont val="Calibri"/>
            <family val="2"/>
          </rPr>
          <t xml:space="preserve">Drawn Tubing (Brass,Lead,Glass, and the like)                               0.00152
Commercial Steel or Wrought Iron                                                       0.0457
Asphalted Cast Iron                                                                                 0.122
Galvanized Iron                                                                                        0.152
Cast Iron                                                                                                     0.259
Wood Stove                                                                                          0.183 - 0.914
Concrete                                                                                                0.305 - 3.05
Riveted Steel                                                                                        0.914 - 9.14
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9" authorId="2" shapeId="0" xr:uid="{A37B3AF8-EB23-444E-9B39-9EF17F96F926}">
      <text>
        <r>
          <rPr>
            <sz val="8"/>
            <color indexed="81"/>
            <rFont val="Calibri"/>
            <family val="2"/>
          </rPr>
          <t>Elevation difference between outlet and inlet.
+ if outlet is above inlet
 - if outlet is below inlet
Note : 
No need for Vapor</t>
        </r>
      </text>
    </comment>
    <comment ref="G40" authorId="2" shapeId="0" xr:uid="{C1740513-E7A3-EA40-B0F2-DCD1A08672B8}">
      <text>
        <r>
          <rPr>
            <sz val="8"/>
            <color indexed="81"/>
            <rFont val="Calibri"/>
            <family val="2"/>
          </rPr>
          <t>This constant C is baesd on English units (Ib/ft</t>
        </r>
        <r>
          <rPr>
            <vertAlign val="superscript"/>
            <sz val="8"/>
            <color indexed="81"/>
            <rFont val="Calibri"/>
            <family val="2"/>
          </rPr>
          <t xml:space="preserve">3 </t>
        </r>
        <r>
          <rPr>
            <sz val="8"/>
            <color indexed="81"/>
            <rFont val="Calibri"/>
            <family val="2"/>
          </rPr>
          <t xml:space="preserve">and ft/s)
C = Velocity * sqrt (density)
</t>
        </r>
        <r>
          <rPr>
            <u/>
            <sz val="8"/>
            <color indexed="81"/>
            <rFont val="Calibri"/>
            <family val="2"/>
          </rPr>
          <t>API 14E Recommends</t>
        </r>
        <r>
          <rPr>
            <sz val="8"/>
            <color indexed="81"/>
            <rFont val="Calibri"/>
            <family val="2"/>
          </rPr>
          <t xml:space="preserve">
Solid Free Fluids :
   C = 100     for  Continuous Service
   C = 125     for  Intermittent Service
Solid Free, Non-Corrosive Environment (CRA, Inhibitor, Non-Corrosive Fluids) :
   C = 150 to 200   for  Continuous Service
   C = 250              for  Intermittent Service</t>
        </r>
      </text>
    </comment>
    <comment ref="G41" authorId="2" shapeId="0" xr:uid="{22C6737F-378D-D646-BC8C-46BBEC2BA053}">
      <text>
        <r>
          <rPr>
            <sz val="8"/>
            <color rgb="FF000000"/>
            <rFont val="Calibri"/>
            <family val="2"/>
          </rPr>
          <t xml:space="preserve">SCRD = Screwed/Threaded
</t>
        </r>
        <r>
          <rPr>
            <sz val="8"/>
            <color rgb="FF000000"/>
            <rFont val="Calibri"/>
            <family val="2"/>
          </rPr>
          <t xml:space="preserve">LR = Long Radius (R/D = 1.5)
</t>
        </r>
        <r>
          <rPr>
            <sz val="8"/>
            <color rgb="FF000000"/>
            <rFont val="Calibri"/>
            <family val="2"/>
          </rPr>
          <t>SR = Short Radius (R/D = 1.0)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G67" authorId="0" shapeId="0" xr:uid="{AE082921-2988-B048-B2EF-4A5D2F097BB4}">
      <text>
        <r>
          <rPr>
            <sz val="8"/>
            <color indexed="81"/>
            <rFont val="Aptos Narrow"/>
            <family val="2"/>
            <scheme val="minor"/>
          </rPr>
          <t>Safety factor is only Pipe &amp; Fitting not include User supply 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1" authorId="0" shapeId="0" xr:uid="{281458DE-C466-1E45-831D-F58A5D66750D}">
      <text>
        <r>
          <rPr>
            <sz val="8"/>
            <color indexed="81"/>
            <rFont val="Aptos Narrow"/>
            <family val="2"/>
            <scheme val="minor"/>
          </rPr>
          <t>Note:
Cg = C1*Cv = 20*Cs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2" authorId="0" shapeId="0" xr:uid="{A3ED9F42-E502-BD44-8258-E9A857750FA1}">
      <text>
        <r>
          <rPr>
            <sz val="8"/>
            <color indexed="81"/>
            <rFont val="Aptos Narrow"/>
            <family val="2"/>
            <scheme val="minor"/>
          </rPr>
          <t>Typical C1 values:
    25 for butterfly valves
    28 for ball valves
    33 - 35 for globe valves
Note: Cg=C1*Cv</t>
        </r>
        <r>
          <rPr>
            <b/>
            <sz val="8"/>
            <color indexed="81"/>
            <rFont val="Aptos Narrow"/>
            <family val="2"/>
            <scheme val="minor"/>
          </rPr>
          <t xml:space="preserve">
</t>
        </r>
      </text>
    </comment>
    <comment ref="G73" authorId="0" shapeId="0" xr:uid="{7E0E7808-7721-614C-BA53-07C813F1966E}">
      <text>
        <r>
          <rPr>
            <sz val="8"/>
            <color indexed="81"/>
            <rFont val="Aptos Narrow"/>
            <family val="2"/>
            <scheme val="minor"/>
          </rPr>
          <t>Typical Xt values:
   Globe, Flow-to-close               0.7
   Globe, Flow-to-open               0.75
   Ball, 90' open                            0.25
   Butterfly, full trim 60' open    0.46
   Butterfly, full trim 90' open    0.26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C83" authorId="0" shapeId="0" xr:uid="{5F704034-BB7D-B049-BB00-CCB3B4F04A72}">
      <text>
        <r>
          <rPr>
            <sz val="8"/>
            <color indexed="81"/>
            <rFont val="Aptos Narrow"/>
            <family val="2"/>
            <scheme val="minor"/>
          </rPr>
          <t>Velocity&gt;0.5 Mach is not recommended as flow will progress to choked condition very quickly after this point.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88" authorId="2" shapeId="0" xr:uid="{FA54F28E-25A3-C84C-AA3D-6AEF002D30A8}">
      <text>
        <r>
          <rPr>
            <b/>
            <sz val="14"/>
            <color indexed="81"/>
            <rFont val="Calibri"/>
            <family val="2"/>
          </rPr>
          <t xml:space="preserve">           </t>
        </r>
        <r>
          <rPr>
            <sz val="14"/>
            <color indexed="81"/>
            <rFont val="Calibri"/>
            <family val="2"/>
          </rPr>
          <t xml:space="preserve"> </t>
        </r>
        <r>
          <rPr>
            <u/>
            <sz val="14"/>
            <color indexed="81"/>
            <rFont val="Calibri"/>
            <family val="2"/>
          </rPr>
          <t>Material</t>
        </r>
        <r>
          <rPr>
            <sz val="14"/>
            <color indexed="81"/>
            <rFont val="Calibri"/>
            <family val="2"/>
          </rPr>
          <t xml:space="preserve">  </t>
        </r>
        <r>
          <rPr>
            <b/>
            <sz val="14"/>
            <color indexed="81"/>
            <rFont val="Calibri"/>
            <family val="2"/>
          </rPr>
          <t xml:space="preserve">                                                                              </t>
        </r>
        <r>
          <rPr>
            <u/>
            <sz val="14"/>
            <color indexed="81"/>
            <rFont val="Calibri"/>
            <family val="2"/>
          </rPr>
          <t xml:space="preserve">Roughness (mm)
</t>
        </r>
        <r>
          <rPr>
            <sz val="14"/>
            <color indexed="81"/>
            <rFont val="Calibri"/>
            <family val="2"/>
          </rPr>
          <t xml:space="preserve">Drawn Tubing (Brass,Lead,Glass, and the like)                           0.00152
Commercial Steel or Wrought Iron                                                    0.0457
Asphalted Cast Iron                                                                                  0.122
Galvanized Iron                                                                                         0.152
Cast Iron                                                                                                       0.259
Wood Stove                                                                                        0.183 - 0.914
Concrete                                                                                                0.305 - 3.05
Riveted Steel                                                                                       0.914 - 9.14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91" authorId="2" shapeId="0" xr:uid="{E363BC4B-0FF8-0F44-81D6-78F666C93815}">
      <text>
        <r>
          <rPr>
            <sz val="14"/>
            <color indexed="81"/>
            <rFont val="Calibri"/>
            <family val="2"/>
          </rPr>
          <t>This constant C is baesd on English units (Ib/ft</t>
        </r>
        <r>
          <rPr>
            <vertAlign val="superscript"/>
            <sz val="14"/>
            <color indexed="81"/>
            <rFont val="Calibri"/>
            <family val="2"/>
          </rPr>
          <t xml:space="preserve">3 </t>
        </r>
        <r>
          <rPr>
            <sz val="14"/>
            <color indexed="81"/>
            <rFont val="Calibri"/>
            <family val="2"/>
          </rPr>
          <t xml:space="preserve">and ft/s)
C = Velocity * sqrt (density)
</t>
        </r>
        <r>
          <rPr>
            <u/>
            <sz val="14"/>
            <color indexed="81"/>
            <rFont val="Calibri"/>
            <family val="2"/>
          </rPr>
          <t>API 14E Recommends</t>
        </r>
        <r>
          <rPr>
            <sz val="14"/>
            <color indexed="81"/>
            <rFont val="Calibri"/>
            <family val="2"/>
          </rPr>
          <t xml:space="preserve">
Solid Free Fluids :
   C = 100     for  Continuous Service
   C = 125     for  Intermittent Service
Solid Free, Non-Corrosive Environment (CRA, Inhibitor, Non-Corrosive Fluids) :
   C = 150 to 200   for  Continuous Service
   C = 250              for  Intermittent Service</t>
        </r>
      </text>
    </comment>
  </commentList>
</comments>
</file>

<file path=xl/sharedStrings.xml><?xml version="1.0" encoding="utf-8"?>
<sst xmlns="http://schemas.openxmlformats.org/spreadsheetml/2006/main" count="437" uniqueCount="162">
  <si>
    <t>MEFLOW</t>
  </si>
  <si>
    <t>This document is confidential proprietary and/or legally privileged, intended to be used within PTTME Co.,Ltd. Unintended recipients are not allowed to distribute, copy, modify, retransmit, disseminate or use this document and/or information.</t>
  </si>
  <si>
    <t>SINGLE PHASE FLOW PRESSURE DROP</t>
  </si>
  <si>
    <t xml:space="preserve">     Segment  ID</t>
  </si>
  <si>
    <t>gas</t>
  </si>
  <si>
    <t>real</t>
  </si>
  <si>
    <t xml:space="preserve">     Description</t>
  </si>
  <si>
    <t>to V-2101</t>
  </si>
  <si>
    <t>gas_network</t>
  </si>
  <si>
    <t>real_network</t>
  </si>
  <si>
    <t>I. GENERAL DATA</t>
  </si>
  <si>
    <t xml:space="preserve">     Fluid Phase</t>
  </si>
  <si>
    <t>Liquid</t>
  </si>
  <si>
    <t>Vapor</t>
  </si>
  <si>
    <t xml:space="preserve">     Calculation Type</t>
  </si>
  <si>
    <t>Pipe Line</t>
  </si>
  <si>
    <t>CV</t>
  </si>
  <si>
    <t xml:space="preserve">     Flow Direction</t>
  </si>
  <si>
    <t>Backward</t>
  </si>
  <si>
    <t>Forward</t>
  </si>
  <si>
    <t xml:space="preserve">     Flow Type  (Adiabatic or Isothermal)</t>
  </si>
  <si>
    <t>Adiabatic</t>
  </si>
  <si>
    <t>Isothermal</t>
  </si>
  <si>
    <t xml:space="preserve">     Pressure</t>
  </si>
  <si>
    <t>kPag</t>
  </si>
  <si>
    <t>II. FLUID DATA</t>
  </si>
  <si>
    <t xml:space="preserve">     Flow Rate</t>
  </si>
  <si>
    <t>kg/h</t>
  </si>
  <si>
    <t xml:space="preserve">     Volumetric Flow Rate</t>
  </si>
  <si>
    <r>
      <t>m</t>
    </r>
    <r>
      <rPr>
        <vertAlign val="superscript"/>
        <sz val="8"/>
        <color theme="1"/>
        <rFont val="Calibri"/>
        <family val="2"/>
      </rPr>
      <t>3</t>
    </r>
    <r>
      <rPr>
        <sz val="9"/>
        <color theme="1"/>
        <rFont val="Calibri"/>
        <family val="2"/>
      </rPr>
      <t>/h</t>
    </r>
  </si>
  <si>
    <t xml:space="preserve">     Design Margin</t>
  </si>
  <si>
    <t>%</t>
  </si>
  <si>
    <t xml:space="preserve">     Design Flow Rate</t>
  </si>
  <si>
    <t xml:space="preserve">     Design Volumetric Flow Rate</t>
  </si>
  <si>
    <r>
      <t>m</t>
    </r>
    <r>
      <rPr>
        <vertAlign val="superscript"/>
        <sz val="9"/>
        <color theme="1"/>
        <rFont val="Calibri"/>
        <family val="2"/>
      </rPr>
      <t>3</t>
    </r>
    <r>
      <rPr>
        <sz val="9"/>
        <color theme="1"/>
        <rFont val="Calibri"/>
        <family val="2"/>
      </rPr>
      <t>/h</t>
    </r>
  </si>
  <si>
    <r>
      <t xml:space="preserve">     Standard Flow Rate  (@ 15 </t>
    </r>
    <r>
      <rPr>
        <vertAlign val="superscript"/>
        <sz val="9"/>
        <color theme="1"/>
        <rFont val="Calibri"/>
        <family val="2"/>
      </rPr>
      <t>o</t>
    </r>
    <r>
      <rPr>
        <sz val="9"/>
        <color theme="1"/>
        <rFont val="Calibri"/>
        <family val="2"/>
      </rPr>
      <t>C, 101.3 kPa(a))</t>
    </r>
  </si>
  <si>
    <t xml:space="preserve">     Temperature</t>
  </si>
  <si>
    <r>
      <rPr>
        <vertAlign val="superscript"/>
        <sz val="9"/>
        <color theme="1"/>
        <rFont val="Calibri"/>
        <family val="2"/>
      </rPr>
      <t>o</t>
    </r>
    <r>
      <rPr>
        <sz val="9"/>
        <color theme="1"/>
        <rFont val="Calibri"/>
        <family val="2"/>
      </rPr>
      <t>C</t>
    </r>
  </si>
  <si>
    <t xml:space="preserve">     Density</t>
  </si>
  <si>
    <r>
      <t>kg/m</t>
    </r>
    <r>
      <rPr>
        <vertAlign val="superscript"/>
        <sz val="8"/>
        <color theme="1"/>
        <rFont val="Calibri"/>
        <family val="2"/>
      </rPr>
      <t>3</t>
    </r>
  </si>
  <si>
    <t xml:space="preserve">     Molecular Weight</t>
  </si>
  <si>
    <t xml:space="preserve">     Compressibility Factor  Z</t>
  </si>
  <si>
    <t xml:space="preserve">     Specific Heat Ratio  k (Cp/Cv)</t>
  </si>
  <si>
    <t xml:space="preserve">     Viscosity</t>
  </si>
  <si>
    <t>cP</t>
  </si>
  <si>
    <t>III. PIPE, FITTING &amp; ELEVATION</t>
  </si>
  <si>
    <t xml:space="preserve">     Main Pipe DN</t>
  </si>
  <si>
    <t>in</t>
  </si>
  <si>
    <t xml:space="preserve">     Pipe Schedule</t>
  </si>
  <si>
    <t xml:space="preserve">     User Supplied ID</t>
  </si>
  <si>
    <t>mm</t>
  </si>
  <si>
    <t xml:space="preserve">     Main Pipe ID</t>
  </si>
  <si>
    <t xml:space="preserve">     Inlet Pipe DN  (if required)</t>
  </si>
  <si>
    <t xml:space="preserve">     Outlet Pipe DN  (if required)</t>
  </si>
  <si>
    <t xml:space="preserve">     Pipe Roughness</t>
  </si>
  <si>
    <t xml:space="preserve">     Pipe Length</t>
  </si>
  <si>
    <t>m</t>
  </si>
  <si>
    <t xml:space="preserve">     Elevation Change  (- for DOWN)</t>
  </si>
  <si>
    <t xml:space="preserve">     Erosional Constant  C  (API 14E)</t>
  </si>
  <si>
    <t>IMP Units</t>
  </si>
  <si>
    <t xml:space="preserve">     Fitting Type  </t>
  </si>
  <si>
    <t>LR</t>
  </si>
  <si>
    <t xml:space="preserve">     Fitting Count</t>
  </si>
  <si>
    <t>Elbows</t>
  </si>
  <si>
    <r>
      <t xml:space="preserve">Elbow  45 </t>
    </r>
    <r>
      <rPr>
        <vertAlign val="superscript"/>
        <sz val="8"/>
        <color theme="1"/>
        <rFont val="Calibri"/>
        <family val="2"/>
      </rPr>
      <t>o</t>
    </r>
    <r>
      <rPr>
        <sz val="9"/>
        <color theme="1"/>
        <rFont val="Calibri"/>
        <family val="2"/>
      </rPr>
      <t>C</t>
    </r>
  </si>
  <si>
    <r>
      <t xml:space="preserve">Elbow  90 </t>
    </r>
    <r>
      <rPr>
        <vertAlign val="superscript"/>
        <sz val="8"/>
        <color theme="1"/>
        <rFont val="Calibri"/>
        <family val="2"/>
      </rPr>
      <t>o</t>
    </r>
    <r>
      <rPr>
        <sz val="9"/>
        <color theme="1"/>
        <rFont val="Calibri"/>
        <family val="2"/>
      </rPr>
      <t>C</t>
    </r>
  </si>
  <si>
    <t>U-Bend</t>
  </si>
  <si>
    <t>Tees</t>
  </si>
  <si>
    <t>Stub-In Elbow</t>
  </si>
  <si>
    <t>Tee Elbow</t>
  </si>
  <si>
    <t>Tee Through</t>
  </si>
  <si>
    <t>Block Valves
(Gate, Ball, Plug)</t>
  </si>
  <si>
    <t xml:space="preserve">Full Line Size  </t>
  </si>
  <si>
    <t>d/D = 1.0</t>
  </si>
  <si>
    <t xml:space="preserve">Reduced Trim  </t>
  </si>
  <si>
    <t>d/D = 0.9</t>
  </si>
  <si>
    <t>d/D = 0.8</t>
  </si>
  <si>
    <t>Valves</t>
  </si>
  <si>
    <t xml:space="preserve">Globe Valve </t>
  </si>
  <si>
    <t>Standard</t>
  </si>
  <si>
    <t xml:space="preserve">Diaphragm  or  Globe Valve           </t>
  </si>
  <si>
    <t xml:space="preserve">Y Type  </t>
  </si>
  <si>
    <t>Butterfly Valve</t>
  </si>
  <si>
    <t>Check Valve</t>
  </si>
  <si>
    <t>Swing</t>
  </si>
  <si>
    <t>Lift</t>
  </si>
  <si>
    <t>Tilting</t>
  </si>
  <si>
    <t>Other</t>
  </si>
  <si>
    <t xml:space="preserve">Pipe Entrance </t>
  </si>
  <si>
    <t>Normal</t>
  </si>
  <si>
    <t xml:space="preserve">Pipe Entrance    </t>
  </si>
  <si>
    <t>Raise</t>
  </si>
  <si>
    <t>Pipe Exit</t>
  </si>
  <si>
    <t>Inlet Swage Type / K Value</t>
  </si>
  <si>
    <t>Outlet Swage Type / K Value</t>
  </si>
  <si>
    <t xml:space="preserve">     Fitting K</t>
  </si>
  <si>
    <t xml:space="preserve">     Pipe Length K</t>
  </si>
  <si>
    <t xml:space="preserve">     User Supply K</t>
  </si>
  <si>
    <t xml:space="preserve">     Total K</t>
  </si>
  <si>
    <t xml:space="preserve">     Pipe &amp; Fitting Safety Factor</t>
  </si>
  <si>
    <t>IV. OPTIONAL CALCULATIONS</t>
  </si>
  <si>
    <t xml:space="preserve">     Control Valve  Cv</t>
  </si>
  <si>
    <t xml:space="preserve">     Control Valve  Cg</t>
  </si>
  <si>
    <t xml:space="preserve">     Recovery Factor  C1</t>
  </si>
  <si>
    <t>or  Terminal Pressure Drop Ratio  XT</t>
  </si>
  <si>
    <t xml:space="preserve">     Thin Sharp Edged Orifice d/D Ratio</t>
  </si>
  <si>
    <t>V. CHARACTERISTIC SUMMARY</t>
  </si>
  <si>
    <t xml:space="preserve">     Reynolds Number</t>
  </si>
  <si>
    <t xml:space="preserve">     Flow Regime       </t>
  </si>
  <si>
    <t xml:space="preserve">     Moody Friction Factor           </t>
  </si>
  <si>
    <t xml:space="preserve">     Velocity Head at Inlet (K=1)</t>
  </si>
  <si>
    <t>kPa</t>
  </si>
  <si>
    <r>
      <t xml:space="preserve">     Flow Momentum (Rho*v</t>
    </r>
    <r>
      <rPr>
        <vertAlign val="superscript"/>
        <sz val="9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)        </t>
    </r>
  </si>
  <si>
    <t xml:space="preserve">     Critical Pressure</t>
  </si>
  <si>
    <t>kPa(a)</t>
  </si>
  <si>
    <t xml:space="preserve">                     </t>
  </si>
  <si>
    <t>Status Massage</t>
  </si>
  <si>
    <t xml:space="preserve">     Warning Massage    </t>
  </si>
  <si>
    <t>VI. PRESSURE LOSSES SUMMARY</t>
  </si>
  <si>
    <t xml:space="preserve">     Pipe &amp; Fitting</t>
  </si>
  <si>
    <t xml:space="preserve">     Elevation Change</t>
  </si>
  <si>
    <t xml:space="preserve">     User supplied K</t>
  </si>
  <si>
    <t xml:space="preserve">     Control Valve Pressure Drop</t>
  </si>
  <si>
    <t xml:space="preserve">     Orifice Pressure Drop</t>
  </si>
  <si>
    <t xml:space="preserve">     User Supplied Fixed Loss</t>
  </si>
  <si>
    <t xml:space="preserve">     Segment Total Loss</t>
  </si>
  <si>
    <t xml:space="preserve">     Unit Friction Loss</t>
  </si>
  <si>
    <t>kPa/100m</t>
  </si>
  <si>
    <t>VII. RESULT SUMMARY</t>
  </si>
  <si>
    <t>INLET</t>
  </si>
  <si>
    <t>Pressure</t>
  </si>
  <si>
    <t>Temperature</t>
  </si>
  <si>
    <t>Density</t>
  </si>
  <si>
    <t>Mach Number</t>
  </si>
  <si>
    <t>Velocity</t>
  </si>
  <si>
    <t>m/s</t>
  </si>
  <si>
    <t>Erosional Velocity</t>
  </si>
  <si>
    <r>
      <t>Flow Momentum (Rho*v</t>
    </r>
    <r>
      <rPr>
        <vertAlign val="superscript"/>
        <sz val="8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)        </t>
    </r>
  </si>
  <si>
    <t>Pa</t>
  </si>
  <si>
    <t>Velocity As % Of Allowable</t>
  </si>
  <si>
    <t>OUTLET</t>
  </si>
  <si>
    <r>
      <t>Flow Momentum (Rho*v</t>
    </r>
    <r>
      <rPr>
        <vertAlign val="superscript"/>
        <sz val="8"/>
        <color theme="1"/>
        <rFont val="Calibri"/>
        <family val="2"/>
      </rPr>
      <t>2</t>
    </r>
    <r>
      <rPr>
        <sz val="9"/>
        <color theme="1"/>
        <rFont val="Calibri"/>
        <family val="2"/>
      </rPr>
      <t>)</t>
    </r>
  </si>
  <si>
    <t xml:space="preserve">     </t>
  </si>
  <si>
    <t>TITLE :</t>
  </si>
  <si>
    <t>PROJECT :</t>
  </si>
  <si>
    <t>CLIENT :</t>
  </si>
  <si>
    <t>PTT MAINTENANCE &amp; ENGINEERING COMPANY LIMITED</t>
  </si>
  <si>
    <t>REV.</t>
  </si>
  <si>
    <t>BY / DATE</t>
  </si>
  <si>
    <t>CHKD / DATE</t>
  </si>
  <si>
    <t>APPD / DATE</t>
  </si>
  <si>
    <t>PROJECT NO.</t>
  </si>
  <si>
    <t>DOCUMENT NO.</t>
  </si>
  <si>
    <t>PAGE NO.</t>
  </si>
  <si>
    <t>OF</t>
  </si>
  <si>
    <t>CA-PR-1050.0202</t>
  </si>
  <si>
    <t>VALIDATION REPORT : RPT-PR-1050.0202</t>
  </si>
  <si>
    <t/>
  </si>
  <si>
    <t>at OUTLET</t>
  </si>
  <si>
    <t>at INLET</t>
  </si>
  <si>
    <t xml:space="preserve"> No.    K/Unit</t>
  </si>
  <si>
    <t>Turbulent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</si>
</sst>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00"/>
    <numFmt numFmtId="166" formatCode="0.0"/>
    <numFmt numFmtId="167" formatCode="0E+00"/>
    <numFmt numFmtId="168" formatCode="0.0000"/>
    <numFmt numFmtId="169" formatCode="0.0000000"/>
  </numFmts>
  <fonts count="43" x14ac:knownFonts="1">
    <font>
      <sz val="9"/>
      <color theme="1"/>
      <name val="Arial"/>
      <family val="2"/>
    </font>
    <font>
      <sz val="18"/>
      <color theme="1"/>
      <name val="Calibri"/>
      <family val="2"/>
    </font>
    <font>
      <sz val="19"/>
      <color theme="1"/>
      <name val="Calibri"/>
      <family val="2"/>
    </font>
    <font>
      <b/>
      <sz val="8"/>
      <color theme="0"/>
      <name val="Calibri"/>
      <family val="2"/>
    </font>
    <font>
      <sz val="8"/>
      <color rgb="FFFF0000"/>
      <name val="Times New Roman"/>
      <family val="1"/>
    </font>
    <font>
      <b/>
      <sz val="12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rgb="FFFF0000"/>
      <name val="Calibri"/>
      <family val="2"/>
    </font>
    <font>
      <sz val="9"/>
      <color rgb="FFFF0000"/>
      <name val="Calibri"/>
      <family val="2"/>
    </font>
    <font>
      <vertAlign val="superscript"/>
      <sz val="8"/>
      <color theme="1"/>
      <name val="Calibri"/>
      <family val="2"/>
    </font>
    <font>
      <vertAlign val="superscript"/>
      <sz val="9"/>
      <color theme="1"/>
      <name val="Calibri"/>
      <family val="2"/>
    </font>
    <font>
      <sz val="9"/>
      <color theme="0"/>
      <name val="Calibri"/>
      <family val="2"/>
    </font>
    <font>
      <b/>
      <sz val="9"/>
      <color theme="4"/>
      <name val="Calibri"/>
      <family val="2"/>
    </font>
    <font>
      <sz val="17"/>
      <color theme="1"/>
      <name val="Calibri"/>
      <family val="2"/>
    </font>
    <font>
      <b/>
      <sz val="10"/>
      <color theme="1"/>
      <name val="Calibri"/>
      <family val="2"/>
    </font>
    <font>
      <b/>
      <sz val="18"/>
      <color theme="0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9"/>
      <name val="Calibri"/>
      <family val="2"/>
    </font>
    <font>
      <sz val="18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u/>
      <sz val="8"/>
      <name val="Calibri"/>
      <family val="2"/>
    </font>
    <font>
      <b/>
      <u/>
      <sz val="8"/>
      <name val="Calibri"/>
      <family val="2"/>
    </font>
    <font>
      <sz val="7"/>
      <name val="Calibri"/>
      <family val="2"/>
    </font>
    <font>
      <sz val="8"/>
      <color indexed="81"/>
      <name val="Aptos Narrow"/>
      <family val="2"/>
      <scheme val="minor"/>
    </font>
    <font>
      <sz val="9"/>
      <color indexed="81"/>
      <name val="Tahoma"/>
      <family val="2"/>
    </font>
    <font>
      <sz val="8"/>
      <color indexed="81"/>
      <name val="Calibri"/>
      <family val="2"/>
    </font>
    <font>
      <b/>
      <sz val="8"/>
      <color indexed="81"/>
      <name val="Calibri"/>
      <family val="2"/>
    </font>
    <font>
      <u/>
      <sz val="8"/>
      <color indexed="81"/>
      <name val="Calibri"/>
      <family val="2"/>
    </font>
    <font>
      <sz val="14"/>
      <color indexed="81"/>
      <name val="Calibri"/>
      <family val="2"/>
    </font>
    <font>
      <vertAlign val="superscript"/>
      <sz val="8"/>
      <color indexed="81"/>
      <name val="Calibri"/>
      <family val="2"/>
    </font>
    <font>
      <sz val="8"/>
      <color rgb="FF000000"/>
      <name val="Calibri"/>
      <family val="2"/>
    </font>
    <font>
      <sz val="14"/>
      <color rgb="FF000000"/>
      <name val="Calibri"/>
      <family val="2"/>
    </font>
    <font>
      <sz val="9"/>
      <color rgb="FF000000"/>
      <name val="Tahoma"/>
      <family val="2"/>
    </font>
    <font>
      <b/>
      <sz val="8"/>
      <color indexed="81"/>
      <name val="Aptos Narrow"/>
      <family val="2"/>
      <scheme val="minor"/>
    </font>
    <font>
      <b/>
      <sz val="14"/>
      <color indexed="81"/>
      <name val="Calibri"/>
      <family val="2"/>
    </font>
    <font>
      <u/>
      <sz val="14"/>
      <color indexed="81"/>
      <name val="Calibri"/>
      <family val="2"/>
    </font>
    <font>
      <vertAlign val="superscript"/>
      <sz val="14"/>
      <color indexed="8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auto="1"/>
      </top>
      <bottom/>
      <diagonal/>
    </border>
    <border>
      <left style="thick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indexed="64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ck">
        <color indexed="64"/>
      </right>
      <top style="hair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ck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indexed="64"/>
      </right>
      <top style="hair">
        <color auto="1"/>
      </top>
      <bottom style="thin">
        <color auto="1"/>
      </bottom>
      <diagonal/>
    </border>
    <border>
      <left style="thick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ck">
        <color indexed="64"/>
      </right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 style="thick">
        <color indexed="64"/>
      </left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ck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thick">
        <color indexed="64"/>
      </right>
      <top/>
      <bottom style="hair">
        <color auto="1"/>
      </bottom>
      <diagonal/>
    </border>
    <border>
      <left style="thick">
        <color indexed="64"/>
      </left>
      <right/>
      <top style="thin">
        <color auto="1"/>
      </top>
      <bottom style="hair">
        <color indexed="64"/>
      </bottom>
      <diagonal/>
    </border>
    <border>
      <left/>
      <right style="thick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ck">
        <color indexed="64"/>
      </left>
      <right style="hair">
        <color indexed="64"/>
      </right>
      <top style="hair">
        <color auto="1"/>
      </top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hair">
        <color indexed="64"/>
      </right>
      <top/>
      <bottom style="hair">
        <color auto="1"/>
      </bottom>
      <diagonal/>
    </border>
    <border>
      <left style="thick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/>
      <bottom/>
      <diagonal/>
    </border>
    <border>
      <left style="thick">
        <color indexed="64"/>
      </left>
      <right style="thin">
        <color auto="1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auto="1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auto="1"/>
      </top>
      <bottom style="thick">
        <color indexed="64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4" fillId="0" borderId="0" xfId="0" applyFont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6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6" fillId="3" borderId="15" xfId="0" quotePrefix="1" applyFont="1" applyFill="1" applyBorder="1" applyAlignment="1" applyProtection="1">
      <alignment horizontal="center" vertical="center"/>
      <protection locked="0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3" borderId="21" xfId="0" applyFont="1" applyFill="1" applyBorder="1" applyAlignment="1" applyProtection="1">
      <alignment horizontal="center" vertical="center" wrapText="1"/>
      <protection locked="0"/>
    </xf>
    <xf numFmtId="0" fontId="6" fillId="3" borderId="20" xfId="0" applyFont="1" applyFill="1" applyBorder="1" applyAlignment="1" applyProtection="1">
      <alignment horizontal="center" vertical="center" wrapText="1"/>
      <protection locked="0"/>
    </xf>
    <xf numFmtId="0" fontId="6" fillId="3" borderId="22" xfId="0" applyFont="1" applyFill="1" applyBorder="1" applyAlignment="1" applyProtection="1">
      <alignment horizontal="center" vertical="center" wrapText="1"/>
      <protection locked="0"/>
    </xf>
    <xf numFmtId="0" fontId="6" fillId="3" borderId="23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3" borderId="24" xfId="0" applyFont="1" applyFill="1" applyBorder="1" applyAlignment="1" applyProtection="1">
      <alignment horizontal="center" vertical="center" wrapText="1"/>
      <protection locked="0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3" borderId="25" xfId="0" applyFont="1" applyFill="1" applyBorder="1" applyAlignment="1" applyProtection="1">
      <alignment horizontal="center" vertical="center" wrapText="1"/>
      <protection locked="0"/>
    </xf>
    <xf numFmtId="0" fontId="6" fillId="3" borderId="5" xfId="0" applyFont="1" applyFill="1" applyBorder="1" applyAlignment="1" applyProtection="1">
      <alignment horizontal="center" vertical="center" wrapText="1"/>
      <protection locked="0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27" xfId="0" applyFont="1" applyBorder="1" applyAlignment="1">
      <alignment horizontal="center" vertical="center"/>
    </xf>
    <xf numFmtId="0" fontId="6" fillId="3" borderId="28" xfId="0" applyFont="1" applyFill="1" applyBorder="1" applyAlignment="1" applyProtection="1">
      <alignment horizontal="center" vertical="center" wrapText="1"/>
      <protection locked="0"/>
    </xf>
    <xf numFmtId="0" fontId="6" fillId="3" borderId="27" xfId="0" applyFont="1" applyFill="1" applyBorder="1" applyAlignment="1" applyProtection="1">
      <alignment horizontal="center" vertical="center" wrapText="1"/>
      <protection locked="0"/>
    </xf>
    <xf numFmtId="0" fontId="6" fillId="3" borderId="29" xfId="0" applyFont="1" applyFill="1" applyBorder="1" applyAlignment="1" applyProtection="1">
      <alignment horizontal="center" vertical="center" wrapText="1"/>
      <protection locked="0"/>
    </xf>
    <xf numFmtId="0" fontId="6" fillId="3" borderId="30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3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33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2" fontId="6" fillId="3" borderId="15" xfId="0" applyNumberFormat="1" applyFont="1" applyFill="1" applyBorder="1" applyAlignment="1" applyProtection="1">
      <alignment horizontal="center" vertical="center"/>
      <protection locked="0"/>
    </xf>
    <xf numFmtId="2" fontId="6" fillId="3" borderId="21" xfId="0" applyNumberFormat="1" applyFont="1" applyFill="1" applyBorder="1" applyAlignment="1" applyProtection="1">
      <alignment horizontal="center"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Alignment="1" applyProtection="1">
      <alignment horizontal="center" vertical="center"/>
      <protection locked="0"/>
    </xf>
    <xf numFmtId="2" fontId="6" fillId="3" borderId="32" xfId="0" applyNumberFormat="1" applyFont="1" applyFill="1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35" xfId="0" applyFont="1" applyBorder="1" applyAlignment="1" applyProtection="1">
      <alignment horizontal="center" vertical="center"/>
      <protection hidden="1"/>
    </xf>
    <xf numFmtId="0" fontId="6" fillId="0" borderId="36" xfId="0" applyFont="1" applyBorder="1" applyAlignment="1" applyProtection="1">
      <alignment horizontal="center" vertical="center"/>
      <protection hidden="1"/>
    </xf>
    <xf numFmtId="0" fontId="6" fillId="0" borderId="37" xfId="0" applyFont="1" applyBorder="1" applyAlignment="1" applyProtection="1">
      <alignment horizontal="center" vertical="center"/>
      <protection hidden="1"/>
    </xf>
    <xf numFmtId="0" fontId="6" fillId="0" borderId="3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2" fontId="6" fillId="0" borderId="16" xfId="0" applyNumberFormat="1" applyFont="1" applyBorder="1" applyAlignment="1" applyProtection="1">
      <alignment horizontal="center" vertical="center"/>
      <protection hidden="1"/>
    </xf>
    <xf numFmtId="2" fontId="6" fillId="0" borderId="14" xfId="0" applyNumberFormat="1" applyFont="1" applyBorder="1" applyAlignment="1" applyProtection="1">
      <alignment horizontal="center" vertical="center"/>
      <protection hidden="1"/>
    </xf>
    <xf numFmtId="2" fontId="6" fillId="0" borderId="17" xfId="0" applyNumberFormat="1" applyFont="1" applyBorder="1" applyAlignment="1" applyProtection="1">
      <alignment horizontal="center" vertical="center"/>
      <protection hidden="1"/>
    </xf>
    <xf numFmtId="2" fontId="6" fillId="0" borderId="15" xfId="0" applyNumberFormat="1" applyFont="1" applyBorder="1" applyAlignment="1" applyProtection="1">
      <alignment horizontal="center" vertical="center"/>
      <protection hidden="1"/>
    </xf>
    <xf numFmtId="2" fontId="6" fillId="0" borderId="32" xfId="0" applyNumberFormat="1" applyFont="1" applyBorder="1" applyAlignment="1" applyProtection="1">
      <alignment horizontal="center" vertical="center"/>
      <protection hidden="1"/>
    </xf>
    <xf numFmtId="2" fontId="6" fillId="0" borderId="33" xfId="0" applyNumberFormat="1" applyFont="1" applyBorder="1" applyAlignment="1" applyProtection="1">
      <alignment horizontal="center" vertical="center"/>
      <protection hidden="1"/>
    </xf>
    <xf numFmtId="2" fontId="6" fillId="0" borderId="34" xfId="0" applyNumberFormat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6" xfId="0" applyFont="1" applyFill="1" applyBorder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horizontal="center" vertical="center"/>
      <protection hidden="1"/>
    </xf>
    <xf numFmtId="0" fontId="6" fillId="3" borderId="17" xfId="0" applyFont="1" applyFill="1" applyBorder="1" applyAlignment="1" applyProtection="1">
      <alignment horizontal="center" vertical="center"/>
      <protection hidden="1"/>
    </xf>
    <xf numFmtId="0" fontId="6" fillId="3" borderId="32" xfId="0" applyFont="1" applyFill="1" applyBorder="1" applyAlignment="1" applyProtection="1">
      <alignment horizontal="center" vertical="center"/>
      <protection hidden="1"/>
    </xf>
    <xf numFmtId="0" fontId="6" fillId="3" borderId="33" xfId="0" applyFont="1" applyFill="1" applyBorder="1" applyAlignment="1" applyProtection="1">
      <alignment horizontal="center" vertical="center"/>
      <protection hidden="1"/>
    </xf>
    <xf numFmtId="0" fontId="6" fillId="3" borderId="34" xfId="0" applyFont="1" applyFill="1" applyBorder="1" applyAlignment="1" applyProtection="1">
      <alignment horizontal="center" vertical="center"/>
      <protection hidden="1"/>
    </xf>
    <xf numFmtId="0" fontId="6" fillId="0" borderId="16" xfId="0" applyFont="1" applyBorder="1" applyAlignment="1" applyProtection="1">
      <alignment horizontal="center" vertical="center"/>
      <protection hidden="1"/>
    </xf>
    <xf numFmtId="0" fontId="6" fillId="0" borderId="14" xfId="0" applyFont="1" applyBorder="1" applyAlignment="1" applyProtection="1">
      <alignment horizontal="center" vertical="center"/>
      <protection hidden="1"/>
    </xf>
    <xf numFmtId="0" fontId="6" fillId="0" borderId="17" xfId="0" applyFont="1" applyBorder="1" applyAlignment="1" applyProtection="1">
      <alignment horizontal="center" vertical="center"/>
      <protection hidden="1"/>
    </xf>
    <xf numFmtId="0" fontId="6" fillId="0" borderId="15" xfId="0" applyFont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center"/>
      <protection hidden="1"/>
    </xf>
    <xf numFmtId="0" fontId="6" fillId="0" borderId="39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36" xfId="0" applyFont="1" applyBorder="1" applyAlignment="1">
      <alignment horizontal="center" vertical="center"/>
    </xf>
    <xf numFmtId="0" fontId="6" fillId="3" borderId="40" xfId="0" applyFont="1" applyFill="1" applyBorder="1" applyAlignment="1" applyProtection="1">
      <alignment horizontal="center" vertical="center"/>
      <protection locked="0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6" fillId="3" borderId="36" xfId="0" applyFont="1" applyFill="1" applyBorder="1" applyAlignment="1" applyProtection="1">
      <alignment horizontal="center" vertical="center"/>
      <protection locked="0"/>
    </xf>
    <xf numFmtId="0" fontId="6" fillId="3" borderId="37" xfId="0" applyFont="1" applyFill="1" applyBorder="1" applyAlignment="1" applyProtection="1">
      <alignment horizontal="center" vertical="center"/>
      <protection locked="0"/>
    </xf>
    <xf numFmtId="0" fontId="6" fillId="3" borderId="41" xfId="0" applyFont="1" applyFill="1" applyBorder="1" applyAlignment="1" applyProtection="1">
      <alignment horizontal="center" vertical="center"/>
      <protection locked="0"/>
    </xf>
    <xf numFmtId="0" fontId="6" fillId="3" borderId="42" xfId="0" applyFont="1" applyFill="1" applyBorder="1" applyAlignment="1" applyProtection="1">
      <alignment horizontal="center" vertical="center"/>
      <protection locked="0"/>
    </xf>
    <xf numFmtId="0" fontId="6" fillId="3" borderId="43" xfId="0" applyFont="1" applyFill="1" applyBorder="1" applyAlignment="1" applyProtection="1">
      <alignment horizontal="center" vertical="center"/>
      <protection locked="0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14" xfId="0" applyFont="1" applyBorder="1" applyAlignment="1">
      <alignment horizontal="center" vertical="center" wrapText="1"/>
    </xf>
    <xf numFmtId="49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left" vertical="center"/>
      <protection hidden="1"/>
    </xf>
    <xf numFmtId="0" fontId="6" fillId="0" borderId="16" xfId="0" applyFont="1" applyBorder="1" applyAlignment="1" applyProtection="1">
      <alignment horizontal="left" vertical="center"/>
      <protection hidden="1"/>
    </xf>
    <xf numFmtId="0" fontId="6" fillId="0" borderId="14" xfId="0" applyFont="1" applyBorder="1" applyAlignment="1" applyProtection="1">
      <alignment horizontal="left" vertical="center"/>
      <protection hidden="1"/>
    </xf>
    <xf numFmtId="0" fontId="6" fillId="0" borderId="17" xfId="0" applyFont="1" applyBorder="1" applyAlignment="1" applyProtection="1">
      <alignment horizontal="left" vertical="center"/>
      <protection hidden="1"/>
    </xf>
    <xf numFmtId="0" fontId="6" fillId="0" borderId="32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left" vertical="center"/>
      <protection hidden="1"/>
    </xf>
    <xf numFmtId="0" fontId="6" fillId="0" borderId="1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1" fontId="6" fillId="3" borderId="45" xfId="0" applyNumberFormat="1" applyFont="1" applyFill="1" applyBorder="1" applyAlignment="1" applyProtection="1">
      <alignment horizontal="center" vertical="center"/>
      <protection locked="0"/>
    </xf>
    <xf numFmtId="0" fontId="6" fillId="3" borderId="45" xfId="0" applyFont="1" applyFill="1" applyBorder="1" applyAlignment="1" applyProtection="1">
      <alignment horizontal="center" vertical="center"/>
      <protection locked="0"/>
    </xf>
    <xf numFmtId="2" fontId="6" fillId="0" borderId="46" xfId="0" applyNumberFormat="1" applyFont="1" applyBorder="1" applyAlignment="1" applyProtection="1">
      <alignment horizontal="center" vertical="center"/>
      <protection hidden="1"/>
    </xf>
    <xf numFmtId="0" fontId="6" fillId="0" borderId="18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1" fontId="6" fillId="0" borderId="45" xfId="0" applyNumberFormat="1" applyFont="1" applyBorder="1" applyAlignment="1" applyProtection="1">
      <alignment horizontal="center" vertical="center"/>
      <protection hidden="1"/>
    </xf>
    <xf numFmtId="0" fontId="6" fillId="0" borderId="45" xfId="0" applyFont="1" applyBorder="1" applyAlignment="1" applyProtection="1">
      <alignment horizontal="center" vertical="center"/>
      <protection hidden="1"/>
    </xf>
    <xf numFmtId="164" fontId="6" fillId="0" borderId="16" xfId="0" applyNumberFormat="1" applyFont="1" applyBorder="1" applyAlignment="1" applyProtection="1">
      <alignment horizontal="center" vertical="center"/>
      <protection hidden="1"/>
    </xf>
    <xf numFmtId="164" fontId="6" fillId="0" borderId="14" xfId="0" applyNumberFormat="1" applyFont="1" applyBorder="1" applyAlignment="1" applyProtection="1">
      <alignment horizontal="center" vertical="center"/>
      <protection hidden="1"/>
    </xf>
    <xf numFmtId="164" fontId="6" fillId="0" borderId="17" xfId="0" applyNumberFormat="1" applyFont="1" applyBorder="1" applyAlignment="1" applyProtection="1">
      <alignment horizontal="center" vertical="center"/>
      <protection hidden="1"/>
    </xf>
    <xf numFmtId="164" fontId="6" fillId="0" borderId="15" xfId="0" applyNumberFormat="1" applyFont="1" applyBorder="1" applyAlignment="1" applyProtection="1">
      <alignment horizontal="center" vertical="center"/>
      <protection hidden="1"/>
    </xf>
    <xf numFmtId="164" fontId="6" fillId="0" borderId="32" xfId="0" applyNumberFormat="1" applyFont="1" applyBorder="1" applyAlignment="1" applyProtection="1">
      <alignment horizontal="center" vertical="center"/>
      <protection hidden="1"/>
    </xf>
    <xf numFmtId="164" fontId="6" fillId="0" borderId="33" xfId="0" applyNumberFormat="1" applyFont="1" applyBorder="1" applyAlignment="1" applyProtection="1">
      <alignment horizontal="center" vertical="center"/>
      <protection hidden="1"/>
    </xf>
    <xf numFmtId="164" fontId="6" fillId="0" borderId="34" xfId="0" applyNumberFormat="1" applyFont="1" applyBorder="1" applyAlignment="1" applyProtection="1">
      <alignment horizontal="center" vertical="center"/>
      <protection hidden="1"/>
    </xf>
    <xf numFmtId="164" fontId="6" fillId="3" borderId="16" xfId="0" applyNumberFormat="1" applyFont="1" applyFill="1" applyBorder="1" applyAlignment="1" applyProtection="1">
      <alignment horizontal="center" vertical="center"/>
      <protection locked="0"/>
    </xf>
    <xf numFmtId="164" fontId="6" fillId="3" borderId="14" xfId="0" applyNumberFormat="1" applyFont="1" applyFill="1" applyBorder="1" applyAlignment="1" applyProtection="1">
      <alignment horizontal="center" vertical="center"/>
      <protection locked="0"/>
    </xf>
    <xf numFmtId="164" fontId="6" fillId="3" borderId="17" xfId="0" applyNumberFormat="1" applyFont="1" applyFill="1" applyBorder="1" applyAlignment="1" applyProtection="1">
      <alignment horizontal="center" vertical="center"/>
      <protection locked="0"/>
    </xf>
    <xf numFmtId="164" fontId="6" fillId="3" borderId="15" xfId="0" applyNumberFormat="1" applyFont="1" applyFill="1" applyBorder="1" applyAlignment="1" applyProtection="1">
      <alignment horizontal="center" vertical="center"/>
      <protection locked="0"/>
    </xf>
    <xf numFmtId="164" fontId="6" fillId="3" borderId="32" xfId="0" applyNumberFormat="1" applyFont="1" applyFill="1" applyBorder="1" applyAlignment="1" applyProtection="1">
      <alignment horizontal="center" vertical="center"/>
      <protection locked="0"/>
    </xf>
    <xf numFmtId="164" fontId="6" fillId="3" borderId="33" xfId="0" applyNumberFormat="1" applyFont="1" applyFill="1" applyBorder="1" applyAlignment="1" applyProtection="1">
      <alignment horizontal="center" vertical="center"/>
      <protection locked="0"/>
    </xf>
    <xf numFmtId="164" fontId="6" fillId="3" borderId="34" xfId="0" applyNumberFormat="1" applyFont="1" applyFill="1" applyBorder="1" applyAlignment="1" applyProtection="1">
      <alignment horizontal="center" vertical="center"/>
      <protection locked="0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164" fontId="6" fillId="0" borderId="16" xfId="0" applyNumberFormat="1" applyFont="1" applyBorder="1" applyAlignment="1" applyProtection="1">
      <alignment horizontal="center" vertical="center"/>
      <protection locked="0"/>
    </xf>
    <xf numFmtId="164" fontId="6" fillId="0" borderId="14" xfId="0" applyNumberFormat="1" applyFont="1" applyBorder="1" applyAlignment="1" applyProtection="1">
      <alignment horizontal="center" vertical="center"/>
      <protection locked="0"/>
    </xf>
    <xf numFmtId="164" fontId="6" fillId="0" borderId="17" xfId="0" applyNumberFormat="1" applyFont="1" applyBorder="1" applyAlignment="1" applyProtection="1">
      <alignment horizontal="center" vertical="center"/>
      <protection locked="0"/>
    </xf>
    <xf numFmtId="164" fontId="6" fillId="0" borderId="15" xfId="0" applyNumberFormat="1" applyFont="1" applyBorder="1" applyAlignment="1" applyProtection="1">
      <alignment horizontal="center" vertical="center"/>
      <protection locked="0"/>
    </xf>
    <xf numFmtId="164" fontId="6" fillId="0" borderId="50" xfId="0" applyNumberFormat="1" applyFont="1" applyBorder="1" applyAlignment="1" applyProtection="1">
      <alignment horizontal="center" vertical="center"/>
      <protection locked="0"/>
    </xf>
    <xf numFmtId="164" fontId="6" fillId="0" borderId="51" xfId="0" applyNumberFormat="1" applyFont="1" applyBorder="1" applyAlignment="1" applyProtection="1">
      <alignment horizontal="center" vertical="center"/>
      <protection locked="0"/>
    </xf>
    <xf numFmtId="164" fontId="6" fillId="0" borderId="52" xfId="0" applyNumberFormat="1" applyFont="1" applyBorder="1" applyAlignment="1" applyProtection="1">
      <alignment horizontal="center" vertical="center"/>
      <protection locked="0"/>
    </xf>
    <xf numFmtId="164" fontId="6" fillId="3" borderId="24" xfId="0" applyNumberFormat="1" applyFont="1" applyFill="1" applyBorder="1" applyAlignment="1" applyProtection="1">
      <alignment horizontal="center" vertical="center"/>
      <protection locked="0"/>
    </xf>
    <xf numFmtId="164" fontId="6" fillId="3" borderId="0" xfId="0" applyNumberFormat="1" applyFont="1" applyFill="1" applyAlignment="1" applyProtection="1">
      <alignment horizontal="center" vertical="center"/>
      <protection locked="0"/>
    </xf>
    <xf numFmtId="164" fontId="6" fillId="3" borderId="25" xfId="0" applyNumberFormat="1" applyFont="1" applyFill="1" applyBorder="1" applyAlignment="1" applyProtection="1">
      <alignment horizontal="center" vertical="center"/>
      <protection locked="0"/>
    </xf>
    <xf numFmtId="164" fontId="6" fillId="3" borderId="53" xfId="0" applyNumberFormat="1" applyFont="1" applyFill="1" applyBorder="1" applyAlignment="1" applyProtection="1">
      <alignment horizontal="center" vertical="center"/>
      <protection locked="0"/>
    </xf>
    <xf numFmtId="164" fontId="6" fillId="3" borderId="50" xfId="0" applyNumberFormat="1" applyFont="1" applyFill="1" applyBorder="1" applyAlignment="1" applyProtection="1">
      <alignment horizontal="center" vertical="center"/>
      <protection locked="0"/>
    </xf>
    <xf numFmtId="164" fontId="6" fillId="3" borderId="51" xfId="0" applyNumberFormat="1" applyFont="1" applyFill="1" applyBorder="1" applyAlignment="1" applyProtection="1">
      <alignment horizontal="center" vertical="center"/>
      <protection locked="0"/>
    </xf>
    <xf numFmtId="164" fontId="6" fillId="3" borderId="52" xfId="0" applyNumberFormat="1" applyFont="1" applyFill="1" applyBorder="1" applyAlignment="1" applyProtection="1">
      <alignment horizontal="center" vertical="center"/>
      <protection locked="0"/>
    </xf>
    <xf numFmtId="164" fontId="6" fillId="0" borderId="35" xfId="0" applyNumberFormat="1" applyFont="1" applyBorder="1" applyAlignment="1" applyProtection="1">
      <alignment horizontal="center" vertical="center"/>
      <protection hidden="1"/>
    </xf>
    <xf numFmtId="164" fontId="6" fillId="0" borderId="36" xfId="0" applyNumberFormat="1" applyFont="1" applyBorder="1" applyAlignment="1" applyProtection="1">
      <alignment horizontal="center" vertical="center"/>
      <protection hidden="1"/>
    </xf>
    <xf numFmtId="164" fontId="6" fillId="0" borderId="37" xfId="0" applyNumberFormat="1" applyFont="1" applyBorder="1" applyAlignment="1" applyProtection="1">
      <alignment horizontal="center" vertical="center"/>
      <protection hidden="1"/>
    </xf>
    <xf numFmtId="164" fontId="6" fillId="0" borderId="40" xfId="0" applyNumberFormat="1" applyFont="1" applyBorder="1" applyAlignment="1" applyProtection="1">
      <alignment horizontal="center" vertical="center"/>
      <protection hidden="1"/>
    </xf>
    <xf numFmtId="164" fontId="6" fillId="0" borderId="50" xfId="0" applyNumberFormat="1" applyFont="1" applyBorder="1" applyAlignment="1" applyProtection="1">
      <alignment horizontal="center" vertical="center"/>
      <protection hidden="1"/>
    </xf>
    <xf numFmtId="164" fontId="6" fillId="0" borderId="51" xfId="0" applyNumberFormat="1" applyFont="1" applyBorder="1" applyAlignment="1" applyProtection="1">
      <alignment horizontal="center" vertical="center"/>
      <protection hidden="1"/>
    </xf>
    <xf numFmtId="164" fontId="6" fillId="0" borderId="52" xfId="0" applyNumberFormat="1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2" fontId="12" fillId="0" borderId="16" xfId="0" applyNumberFormat="1" applyFont="1" applyBorder="1" applyAlignment="1" applyProtection="1">
      <alignment horizontal="center" vertical="center"/>
      <protection locked="0"/>
    </xf>
    <xf numFmtId="2" fontId="12" fillId="0" borderId="14" xfId="0" applyNumberFormat="1" applyFont="1" applyBorder="1" applyAlignment="1" applyProtection="1">
      <alignment horizontal="center" vertical="center"/>
      <protection locked="0"/>
    </xf>
    <xf numFmtId="2" fontId="12" fillId="0" borderId="17" xfId="0" applyNumberFormat="1" applyFont="1" applyBorder="1" applyAlignment="1" applyProtection="1">
      <alignment horizontal="center" vertical="center"/>
      <protection locked="0"/>
    </xf>
    <xf numFmtId="2" fontId="12" fillId="0" borderId="15" xfId="0" applyNumberFormat="1" applyFont="1" applyBorder="1" applyAlignment="1" applyProtection="1">
      <alignment horizontal="center" vertical="center"/>
      <protection locked="0"/>
    </xf>
    <xf numFmtId="2" fontId="12" fillId="0" borderId="32" xfId="0" applyNumberFormat="1" applyFont="1" applyBorder="1" applyAlignment="1" applyProtection="1">
      <alignment horizontal="center" vertical="center"/>
      <protection locked="0"/>
    </xf>
    <xf numFmtId="2" fontId="12" fillId="0" borderId="33" xfId="0" applyNumberFormat="1" applyFont="1" applyBorder="1" applyAlignment="1" applyProtection="1">
      <alignment horizontal="center" vertical="center"/>
      <protection locked="0"/>
    </xf>
    <xf numFmtId="2" fontId="12" fillId="0" borderId="34" xfId="0" applyNumberFormat="1" applyFont="1" applyBorder="1" applyAlignment="1" applyProtection="1">
      <alignment horizontal="center" vertical="center"/>
      <protection locked="0"/>
    </xf>
    <xf numFmtId="2" fontId="12" fillId="0" borderId="35" xfId="0" applyNumberFormat="1" applyFont="1" applyBorder="1" applyAlignment="1" applyProtection="1">
      <alignment horizontal="center" vertical="center"/>
      <protection locked="0"/>
    </xf>
    <xf numFmtId="2" fontId="12" fillId="0" borderId="36" xfId="0" applyNumberFormat="1" applyFont="1" applyBorder="1" applyAlignment="1" applyProtection="1">
      <alignment horizontal="center" vertical="center"/>
      <protection locked="0"/>
    </xf>
    <xf numFmtId="2" fontId="12" fillId="0" borderId="37" xfId="0" applyNumberFormat="1" applyFont="1" applyBorder="1" applyAlignment="1" applyProtection="1">
      <alignment horizontal="center" vertical="center"/>
      <protection locked="0"/>
    </xf>
    <xf numFmtId="2" fontId="12" fillId="0" borderId="40" xfId="0" applyNumberFormat="1" applyFont="1" applyBorder="1" applyAlignment="1" applyProtection="1">
      <alignment horizontal="center" vertical="center"/>
      <protection locked="0"/>
    </xf>
    <xf numFmtId="2" fontId="12" fillId="0" borderId="41" xfId="0" applyNumberFormat="1" applyFont="1" applyBorder="1" applyAlignment="1" applyProtection="1">
      <alignment horizontal="center" vertical="center"/>
      <protection locked="0"/>
    </xf>
    <xf numFmtId="2" fontId="12" fillId="0" borderId="42" xfId="0" applyNumberFormat="1" applyFont="1" applyBorder="1" applyAlignment="1" applyProtection="1">
      <alignment horizontal="center" vertical="center"/>
      <protection locked="0"/>
    </xf>
    <xf numFmtId="2" fontId="12" fillId="0" borderId="43" xfId="0" applyNumberFormat="1" applyFont="1" applyBorder="1" applyAlignment="1" applyProtection="1">
      <alignment horizontal="center" vertical="center"/>
      <protection locked="0"/>
    </xf>
    <xf numFmtId="0" fontId="7" fillId="0" borderId="48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6" fillId="0" borderId="54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1" fontId="6" fillId="0" borderId="15" xfId="0" applyNumberFormat="1" applyFont="1" applyBorder="1" applyAlignment="1" applyProtection="1">
      <alignment horizontal="center" vertical="center"/>
      <protection hidden="1"/>
    </xf>
    <xf numFmtId="1" fontId="6" fillId="0" borderId="32" xfId="0" applyNumberFormat="1" applyFont="1" applyBorder="1" applyAlignment="1" applyProtection="1">
      <alignment horizontal="center" vertical="center"/>
      <protection hidden="1"/>
    </xf>
    <xf numFmtId="1" fontId="6" fillId="0" borderId="33" xfId="0" applyNumberFormat="1" applyFont="1" applyBorder="1" applyAlignment="1" applyProtection="1">
      <alignment horizontal="center" vertical="center"/>
      <protection hidden="1"/>
    </xf>
    <xf numFmtId="1" fontId="6" fillId="0" borderId="34" xfId="0" applyNumberFormat="1" applyFont="1" applyBorder="1" applyAlignment="1" applyProtection="1">
      <alignment horizontal="center" vertical="center"/>
      <protection hidden="1"/>
    </xf>
    <xf numFmtId="165" fontId="6" fillId="0" borderId="15" xfId="0" applyNumberFormat="1" applyFont="1" applyBorder="1" applyAlignment="1" applyProtection="1">
      <alignment horizontal="center" vertical="center"/>
      <protection hidden="1"/>
    </xf>
    <xf numFmtId="165" fontId="6" fillId="0" borderId="32" xfId="0" applyNumberFormat="1" applyFont="1" applyBorder="1" applyAlignment="1" applyProtection="1">
      <alignment horizontal="center" vertical="center"/>
      <protection hidden="1"/>
    </xf>
    <xf numFmtId="165" fontId="6" fillId="0" borderId="33" xfId="0" applyNumberFormat="1" applyFont="1" applyBorder="1" applyAlignment="1" applyProtection="1">
      <alignment horizontal="center" vertical="center"/>
      <protection hidden="1"/>
    </xf>
    <xf numFmtId="165" fontId="6" fillId="0" borderId="34" xfId="0" applyNumberFormat="1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>
      <alignment horizontal="left" vertical="center"/>
    </xf>
    <xf numFmtId="0" fontId="9" fillId="0" borderId="21" xfId="0" applyFont="1" applyBorder="1" applyAlignment="1" applyProtection="1">
      <alignment horizontal="center" vertical="center" wrapText="1"/>
      <protection hidden="1"/>
    </xf>
    <xf numFmtId="0" fontId="9" fillId="0" borderId="20" xfId="0" applyFont="1" applyBorder="1" applyAlignment="1" applyProtection="1">
      <alignment horizontal="center" vertical="center" wrapText="1"/>
      <protection hidden="1"/>
    </xf>
    <xf numFmtId="0" fontId="9" fillId="0" borderId="22" xfId="0" applyFont="1" applyBorder="1" applyAlignment="1" applyProtection="1">
      <alignment horizontal="center" vertical="center" wrapText="1"/>
      <protection hidden="1"/>
    </xf>
    <xf numFmtId="0" fontId="9" fillId="0" borderId="23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9" fillId="0" borderId="28" xfId="0" applyFont="1" applyBorder="1" applyAlignment="1" applyProtection="1">
      <alignment horizontal="center" vertical="center" wrapText="1"/>
      <protection hidden="1"/>
    </xf>
    <xf numFmtId="0" fontId="9" fillId="0" borderId="27" xfId="0" applyFont="1" applyBorder="1" applyAlignment="1" applyProtection="1">
      <alignment horizontal="center" vertical="center" wrapText="1"/>
      <protection hidden="1"/>
    </xf>
    <xf numFmtId="0" fontId="9" fillId="0" borderId="29" xfId="0" applyFont="1" applyBorder="1" applyAlignment="1" applyProtection="1">
      <alignment horizontal="center" vertical="center" wrapText="1"/>
      <protection hidden="1"/>
    </xf>
    <xf numFmtId="0" fontId="9" fillId="0" borderId="30" xfId="0" applyFont="1" applyBorder="1" applyAlignment="1" applyProtection="1">
      <alignment horizontal="center" vertical="center" wrapText="1"/>
      <protection hidden="1"/>
    </xf>
    <xf numFmtId="0" fontId="7" fillId="0" borderId="56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 applyProtection="1">
      <alignment horizontal="center" vertical="center"/>
      <protection locked="0"/>
    </xf>
    <xf numFmtId="164" fontId="12" fillId="0" borderId="32" xfId="0" applyNumberFormat="1" applyFont="1" applyBorder="1" applyAlignment="1" applyProtection="1">
      <alignment horizontal="center" vertical="center"/>
      <protection locked="0"/>
    </xf>
    <xf numFmtId="164" fontId="12" fillId="0" borderId="33" xfId="0" applyNumberFormat="1" applyFont="1" applyBorder="1" applyAlignment="1" applyProtection="1">
      <alignment horizontal="center" vertical="center"/>
      <protection locked="0"/>
    </xf>
    <xf numFmtId="164" fontId="12" fillId="0" borderId="34" xfId="0" applyNumberFormat="1" applyFont="1" applyBorder="1" applyAlignment="1" applyProtection="1">
      <alignment horizontal="center" vertical="center"/>
      <protection locked="0"/>
    </xf>
    <xf numFmtId="164" fontId="13" fillId="0" borderId="15" xfId="0" applyNumberFormat="1" applyFont="1" applyBorder="1" applyAlignment="1" applyProtection="1">
      <alignment horizontal="center" vertical="center"/>
      <protection hidden="1"/>
    </xf>
    <xf numFmtId="164" fontId="13" fillId="0" borderId="32" xfId="0" applyNumberFormat="1" applyFont="1" applyBorder="1" applyAlignment="1" applyProtection="1">
      <alignment horizontal="center" vertical="center"/>
      <protection hidden="1"/>
    </xf>
    <xf numFmtId="164" fontId="13" fillId="0" borderId="33" xfId="0" applyNumberFormat="1" applyFont="1" applyBorder="1" applyAlignment="1" applyProtection="1">
      <alignment horizontal="center" vertical="center"/>
      <protection hidden="1"/>
    </xf>
    <xf numFmtId="164" fontId="13" fillId="0" borderId="34" xfId="0" applyNumberFormat="1" applyFont="1" applyBorder="1" applyAlignment="1" applyProtection="1">
      <alignment horizontal="center" vertical="center"/>
      <protection hidden="1"/>
    </xf>
    <xf numFmtId="164" fontId="6" fillId="0" borderId="41" xfId="0" applyNumberFormat="1" applyFont="1" applyBorder="1" applyAlignment="1" applyProtection="1">
      <alignment horizontal="center" vertical="center"/>
      <protection hidden="1"/>
    </xf>
    <xf numFmtId="164" fontId="6" fillId="0" borderId="42" xfId="0" applyNumberFormat="1" applyFont="1" applyBorder="1" applyAlignment="1" applyProtection="1">
      <alignment horizontal="center" vertical="center"/>
      <protection hidden="1"/>
    </xf>
    <xf numFmtId="164" fontId="6" fillId="0" borderId="43" xfId="0" applyNumberFormat="1" applyFont="1" applyBorder="1" applyAlignment="1" applyProtection="1">
      <alignment horizontal="center" vertical="center"/>
      <protection hidden="1"/>
    </xf>
    <xf numFmtId="164" fontId="6" fillId="0" borderId="58" xfId="0" applyNumberFormat="1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164" fontId="6" fillId="0" borderId="54" xfId="0" applyNumberFormat="1" applyFont="1" applyBorder="1" applyAlignment="1">
      <alignment horizontal="center" vertical="center"/>
    </xf>
    <xf numFmtId="164" fontId="6" fillId="0" borderId="55" xfId="0" applyNumberFormat="1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164" fontId="13" fillId="0" borderId="16" xfId="0" applyNumberFormat="1" applyFont="1" applyBorder="1" applyAlignment="1" applyProtection="1">
      <alignment horizontal="center" vertical="center"/>
      <protection hidden="1"/>
    </xf>
    <xf numFmtId="164" fontId="13" fillId="0" borderId="14" xfId="0" applyNumberFormat="1" applyFont="1" applyBorder="1" applyAlignment="1" applyProtection="1">
      <alignment horizontal="center" vertical="center"/>
      <protection hidden="1"/>
    </xf>
    <xf numFmtId="164" fontId="13" fillId="0" borderId="17" xfId="0" applyNumberFormat="1" applyFont="1" applyBorder="1" applyAlignment="1" applyProtection="1">
      <alignment horizontal="center" vertical="center"/>
      <protection hidden="1"/>
    </xf>
    <xf numFmtId="0" fontId="6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0" borderId="62" xfId="0" applyFont="1" applyBorder="1" applyAlignment="1">
      <alignment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6" xfId="0" applyFont="1" applyBorder="1" applyAlignment="1">
      <alignment vertical="center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0" fontId="6" fillId="0" borderId="11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6" fillId="0" borderId="57" xfId="0" applyFont="1" applyBorder="1" applyAlignment="1" applyProtection="1">
      <alignment vertical="center"/>
      <protection locked="0"/>
    </xf>
    <xf numFmtId="0" fontId="6" fillId="0" borderId="16" xfId="0" applyFont="1" applyBorder="1" applyAlignment="1" applyProtection="1">
      <alignment horizontal="left" vertical="center"/>
      <protection locked="0"/>
    </xf>
    <xf numFmtId="0" fontId="6" fillId="0" borderId="14" xfId="0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 applyProtection="1">
      <alignment vertical="center"/>
      <protection locked="0"/>
    </xf>
    <xf numFmtId="0" fontId="6" fillId="0" borderId="20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vertical="center"/>
      <protection locked="0"/>
    </xf>
    <xf numFmtId="0" fontId="6" fillId="0" borderId="23" xfId="0" applyFont="1" applyBorder="1" applyAlignment="1" applyProtection="1">
      <alignment vertical="center"/>
      <protection locked="0"/>
    </xf>
    <xf numFmtId="0" fontId="6" fillId="0" borderId="35" xfId="0" applyFont="1" applyBorder="1" applyAlignment="1" applyProtection="1">
      <alignment horizontal="left" vertical="center"/>
      <protection locked="0"/>
    </xf>
    <xf numFmtId="0" fontId="6" fillId="0" borderId="36" xfId="0" applyFont="1" applyBorder="1" applyAlignment="1" applyProtection="1">
      <alignment horizontal="left" vertical="center"/>
      <protection locked="0"/>
    </xf>
    <xf numFmtId="0" fontId="6" fillId="0" borderId="37" xfId="0" applyFont="1" applyBorder="1" applyAlignment="1" applyProtection="1">
      <alignment horizontal="left" vertical="center"/>
      <protection locked="0"/>
    </xf>
    <xf numFmtId="0" fontId="6" fillId="0" borderId="35" xfId="0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vertical="center"/>
      <protection locked="0"/>
    </xf>
    <xf numFmtId="0" fontId="6" fillId="0" borderId="37" xfId="0" applyFont="1" applyBorder="1" applyAlignment="1" applyProtection="1">
      <alignment vertical="center"/>
      <protection locked="0"/>
    </xf>
    <xf numFmtId="0" fontId="6" fillId="0" borderId="38" xfId="0" applyFont="1" applyBorder="1" applyAlignment="1" applyProtection="1">
      <alignment vertical="center"/>
      <protection locked="0"/>
    </xf>
    <xf numFmtId="0" fontId="14" fillId="0" borderId="63" xfId="0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0" fontId="15" fillId="0" borderId="73" xfId="0" applyFont="1" applyBorder="1" applyAlignment="1">
      <alignment horizontal="center" vertical="center"/>
    </xf>
    <xf numFmtId="0" fontId="15" fillId="0" borderId="74" xfId="0" applyFont="1" applyBorder="1" applyAlignment="1">
      <alignment horizontal="center" vertical="center"/>
    </xf>
    <xf numFmtId="0" fontId="6" fillId="0" borderId="75" xfId="0" applyFont="1" applyBorder="1" applyAlignment="1" applyProtection="1">
      <alignment horizontal="center" vertical="center"/>
      <protection locked="0"/>
    </xf>
    <xf numFmtId="0" fontId="6" fillId="0" borderId="76" xfId="0" applyFont="1" applyBorder="1" applyAlignment="1" applyProtection="1">
      <alignment horizontal="center" vertical="center"/>
      <protection locked="0"/>
    </xf>
    <xf numFmtId="0" fontId="6" fillId="0" borderId="77" xfId="0" applyFont="1" applyBorder="1" applyAlignment="1" applyProtection="1">
      <alignment horizontal="center" vertical="center"/>
      <protection locked="0"/>
    </xf>
    <xf numFmtId="0" fontId="6" fillId="0" borderId="76" xfId="0" applyFont="1" applyBorder="1" applyAlignment="1">
      <alignment horizontal="center" vertical="center"/>
    </xf>
    <xf numFmtId="0" fontId="6" fillId="0" borderId="78" xfId="0" applyFont="1" applyBorder="1" applyAlignment="1" applyProtection="1">
      <alignment horizontal="center" vertical="center"/>
      <protection locked="0"/>
    </xf>
    <xf numFmtId="0" fontId="16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16" fontId="24" fillId="0" borderId="0" xfId="0" quotePrefix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49" fontId="24" fillId="0" borderId="0" xfId="0" quotePrefix="1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0" xfId="0" quotePrefix="1" applyFont="1" applyAlignment="1">
      <alignment vertical="center"/>
    </xf>
    <xf numFmtId="1" fontId="24" fillId="0" borderId="0" xfId="0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2" fontId="24" fillId="0" borderId="0" xfId="0" applyNumberFormat="1" applyFont="1" applyAlignment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168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68" fontId="24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164" fontId="24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2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69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FF000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FF000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FF000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FF000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FF000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FF000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theme="1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FF000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61372</xdr:colOff>
      <xdr:row>113</xdr:row>
      <xdr:rowOff>29296</xdr:rowOff>
    </xdr:from>
    <xdr:ext cx="451587" cy="304080"/>
    <xdr:pic>
      <xdr:nvPicPr>
        <xdr:cNvPr id="2" name="Picture 1">
          <a:extLst>
            <a:ext uri="{FF2B5EF4-FFF2-40B4-BE49-F238E27FC236}">
              <a16:creationId xmlns:a16="http://schemas.microsoft.com/office/drawing/2014/main" id="{42CAE225-46CB-964D-B857-4A621B7A0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2" y="13821496"/>
          <a:ext cx="451587" cy="304080"/>
        </a:xfrm>
        <a:prstGeom prst="rect">
          <a:avLst/>
        </a:prstGeom>
      </xdr:spPr>
    </xdr:pic>
    <xdr:clientData/>
  </xdr:oneCellAnchor>
  <xdr:twoCellAnchor>
    <xdr:from>
      <xdr:col>59</xdr:col>
      <xdr:colOff>122464</xdr:colOff>
      <xdr:row>306</xdr:row>
      <xdr:rowOff>95250</xdr:rowOff>
    </xdr:from>
    <xdr:to>
      <xdr:col>60</xdr:col>
      <xdr:colOff>222612</xdr:colOff>
      <xdr:row>324</xdr:row>
      <xdr:rowOff>163286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80C67738-66C1-444E-A887-B1FC3BF901C6}"/>
            </a:ext>
          </a:extLst>
        </xdr:cNvPr>
        <xdr:cNvSpPr/>
      </xdr:nvSpPr>
      <xdr:spPr>
        <a:xfrm>
          <a:off x="31110464" y="40811450"/>
          <a:ext cx="582748" cy="2557236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ttgcgroup-my.sharepoint.com/personal/26008353_pttgcgroup_com/Documents/Desktop/2%20AREA/01%20Tools%20and%20Tables/01%20VBA/GCMEFLOW/Test%20With%20Old%20Workbook.xlsx" TargetMode="External"/><Relationship Id="rId1" Type="http://schemas.openxmlformats.org/officeDocument/2006/relationships/externalLinkPath" Target="https://pttgcgroup-my.sharepoint.com/personal/26008353_pttgcgroup_com/Documents/Desktop/2%20AREA/01%20Tools%20and%20Tables/01%20VBA/GCMEFLOW/Test%20With%20Old%20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s_network"/>
      <sheetName val="sample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2B04-3CB8-8B43-B67E-D782F61445BF}">
  <sheetPr>
    <tabColor rgb="FFFF0000"/>
    <pageSetUpPr fitToPage="1"/>
  </sheetPr>
  <dimension ref="A1:EG1255"/>
  <sheetViews>
    <sheetView tabSelected="1" topLeftCell="R1" zoomScale="130" zoomScaleNormal="130" workbookViewId="0">
      <selection activeCell="AE1" sqref="AE1"/>
    </sheetView>
  </sheetViews>
  <sheetFormatPr baseColWidth="10" defaultColWidth="9.19921875" defaultRowHeight="16.25" customHeight="1" x14ac:dyDescent="0.15"/>
  <cols>
    <col min="1" max="1" width="2.59765625" style="294" customWidth="1"/>
    <col min="2" max="2" width="3.59765625" style="294" customWidth="1"/>
    <col min="3" max="3" width="8.19921875" style="294" customWidth="1"/>
    <col min="4" max="4" width="6.59765625" style="294" customWidth="1"/>
    <col min="5" max="5" width="11.59765625" style="294" customWidth="1"/>
    <col min="6" max="6" width="7.19921875" style="294" customWidth="1"/>
    <col min="7" max="7" width="6.796875" style="295" customWidth="1"/>
    <col min="8" max="31" width="7.19921875" style="296" customWidth="1"/>
    <col min="32" max="32" width="2.59765625" style="294" customWidth="1"/>
    <col min="33" max="33" width="5.19921875" style="294" customWidth="1"/>
    <col min="34" max="36" width="5.59765625" style="297" customWidth="1"/>
    <col min="37" max="40" width="6.59765625" style="297" customWidth="1"/>
    <col min="41" max="44" width="6.59765625" style="294" customWidth="1"/>
    <col min="45" max="45" width="5.59765625" style="294" customWidth="1"/>
    <col min="46" max="46" width="8.796875" style="294" customWidth="1"/>
    <col min="47" max="47" width="9.19921875" style="294" customWidth="1"/>
    <col min="48" max="48" width="10.3984375" style="294" customWidth="1"/>
    <col min="49" max="49" width="9.19921875" style="294" customWidth="1"/>
    <col min="50" max="57" width="16.59765625" style="294" customWidth="1"/>
    <col min="58" max="122" width="7.59765625" style="294" customWidth="1"/>
    <col min="123" max="16384" width="9.19921875" style="294"/>
  </cols>
  <sheetData>
    <row r="1" spans="1:32" customFormat="1" ht="15.75" customHeight="1" thickBot="1" x14ac:dyDescent="0.2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 t="s">
        <v>0</v>
      </c>
      <c r="AF1" s="1"/>
    </row>
    <row r="2" spans="1:32" customFormat="1" ht="10.25" customHeight="1" thickTop="1" x14ac:dyDescent="0.15">
      <c r="A2" s="1"/>
      <c r="B2" s="5" t="s">
        <v>1</v>
      </c>
      <c r="C2" s="6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8"/>
      <c r="AF2" s="1"/>
    </row>
    <row r="3" spans="1:32" customFormat="1" ht="10.25" customHeight="1" x14ac:dyDescent="0.15">
      <c r="A3" s="1"/>
      <c r="B3" s="5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  <c r="AF3" s="1"/>
    </row>
    <row r="4" spans="1:32" customFormat="1" ht="10.25" customHeight="1" x14ac:dyDescent="0.15">
      <c r="A4" s="1"/>
      <c r="B4" s="5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1"/>
    </row>
    <row r="5" spans="1:32" customFormat="1" ht="10.25" customHeight="1" x14ac:dyDescent="0.15">
      <c r="A5" s="1"/>
      <c r="B5" s="5"/>
      <c r="C5" s="12"/>
      <c r="D5" s="13"/>
      <c r="E5" s="14"/>
      <c r="F5" s="14"/>
      <c r="G5" s="14"/>
      <c r="H5" s="15">
        <v>1</v>
      </c>
      <c r="I5" s="15"/>
      <c r="J5" s="15"/>
      <c r="K5" s="16">
        <v>2</v>
      </c>
      <c r="L5" s="17"/>
      <c r="M5" s="18"/>
      <c r="N5" s="15">
        <v>3</v>
      </c>
      <c r="O5" s="15"/>
      <c r="P5" s="15"/>
      <c r="Q5" s="15">
        <v>4</v>
      </c>
      <c r="R5" s="15"/>
      <c r="S5" s="15"/>
      <c r="T5" s="15">
        <v>5</v>
      </c>
      <c r="U5" s="15"/>
      <c r="V5" s="15"/>
      <c r="W5" s="15">
        <v>6</v>
      </c>
      <c r="X5" s="15"/>
      <c r="Y5" s="15"/>
      <c r="Z5" s="15">
        <v>7</v>
      </c>
      <c r="AA5" s="15"/>
      <c r="AB5" s="15"/>
      <c r="AC5" s="19">
        <v>8</v>
      </c>
      <c r="AD5" s="19"/>
      <c r="AE5" s="20"/>
      <c r="AF5" s="1"/>
    </row>
    <row r="6" spans="1:32" customFormat="1" ht="10.25" customHeight="1" x14ac:dyDescent="0.15">
      <c r="A6" s="1"/>
      <c r="B6" s="5"/>
      <c r="C6" s="21" t="s">
        <v>3</v>
      </c>
      <c r="D6" s="22"/>
      <c r="E6" s="23"/>
      <c r="F6" s="23"/>
      <c r="G6" s="24"/>
      <c r="H6" s="25">
        <v>16</v>
      </c>
      <c r="I6" s="25"/>
      <c r="J6" s="25"/>
      <c r="K6" s="26">
        <v>17</v>
      </c>
      <c r="L6" s="27"/>
      <c r="M6" s="28"/>
      <c r="N6" s="29"/>
      <c r="O6" s="25"/>
      <c r="P6" s="25"/>
      <c r="Q6" s="25" t="s">
        <v>4</v>
      </c>
      <c r="R6" s="25"/>
      <c r="S6" s="25"/>
      <c r="T6" s="29" t="s">
        <v>4</v>
      </c>
      <c r="U6" s="25"/>
      <c r="V6" s="25"/>
      <c r="W6" s="25" t="s">
        <v>5</v>
      </c>
      <c r="X6" s="25"/>
      <c r="Y6" s="25"/>
      <c r="Z6" s="25" t="s">
        <v>5</v>
      </c>
      <c r="AA6" s="25"/>
      <c r="AB6" s="25"/>
      <c r="AC6" s="27"/>
      <c r="AD6" s="27"/>
      <c r="AE6" s="30"/>
      <c r="AF6" s="1"/>
    </row>
    <row r="7" spans="1:32" customFormat="1" ht="10.25" customHeight="1" x14ac:dyDescent="0.15">
      <c r="A7" s="1"/>
      <c r="B7" s="5"/>
      <c r="C7" s="31" t="s">
        <v>6</v>
      </c>
      <c r="D7" s="32"/>
      <c r="E7" s="33"/>
      <c r="F7" s="33"/>
      <c r="G7" s="34"/>
      <c r="H7" s="35"/>
      <c r="I7" s="36"/>
      <c r="J7" s="37"/>
      <c r="K7" s="35" t="s">
        <v>7</v>
      </c>
      <c r="L7" s="36"/>
      <c r="M7" s="37"/>
      <c r="N7" s="35"/>
      <c r="O7" s="36"/>
      <c r="P7" s="37"/>
      <c r="Q7" s="35" t="s">
        <v>8</v>
      </c>
      <c r="R7" s="36"/>
      <c r="S7" s="37"/>
      <c r="T7" s="35" t="s">
        <v>8</v>
      </c>
      <c r="U7" s="36"/>
      <c r="V7" s="37"/>
      <c r="W7" s="35" t="s">
        <v>9</v>
      </c>
      <c r="X7" s="36"/>
      <c r="Y7" s="37"/>
      <c r="Z7" s="35" t="s">
        <v>9</v>
      </c>
      <c r="AA7" s="36"/>
      <c r="AB7" s="37"/>
      <c r="AC7" s="35"/>
      <c r="AD7" s="36"/>
      <c r="AE7" s="38"/>
      <c r="AF7" s="1"/>
    </row>
    <row r="8" spans="1:32" customFormat="1" ht="10.25" customHeight="1" x14ac:dyDescent="0.15">
      <c r="A8" s="1"/>
      <c r="B8" s="5"/>
      <c r="C8" s="39"/>
      <c r="D8" s="40"/>
      <c r="E8" s="33"/>
      <c r="F8" s="33"/>
      <c r="G8" s="34"/>
      <c r="H8" s="41"/>
      <c r="I8" s="42"/>
      <c r="J8" s="43"/>
      <c r="K8" s="41"/>
      <c r="L8" s="42"/>
      <c r="M8" s="43"/>
      <c r="N8" s="41"/>
      <c r="O8" s="42"/>
      <c r="P8" s="43"/>
      <c r="Q8" s="41"/>
      <c r="R8" s="42"/>
      <c r="S8" s="43"/>
      <c r="T8" s="41"/>
      <c r="U8" s="42"/>
      <c r="V8" s="43"/>
      <c r="W8" s="41"/>
      <c r="X8" s="42"/>
      <c r="Y8" s="43"/>
      <c r="Z8" s="41"/>
      <c r="AA8" s="42"/>
      <c r="AB8" s="43"/>
      <c r="AC8" s="41"/>
      <c r="AD8" s="42"/>
      <c r="AE8" s="44"/>
      <c r="AF8" s="1"/>
    </row>
    <row r="9" spans="1:32" customFormat="1" ht="10.25" customHeight="1" x14ac:dyDescent="0.15">
      <c r="A9" s="1"/>
      <c r="B9" s="5"/>
      <c r="C9" s="45"/>
      <c r="D9" s="46"/>
      <c r="E9" s="46"/>
      <c r="F9" s="46"/>
      <c r="G9" s="47"/>
      <c r="H9" s="48"/>
      <c r="I9" s="49"/>
      <c r="J9" s="50"/>
      <c r="K9" s="48"/>
      <c r="L9" s="49"/>
      <c r="M9" s="50"/>
      <c r="N9" s="48"/>
      <c r="O9" s="49"/>
      <c r="P9" s="50"/>
      <c r="Q9" s="48"/>
      <c r="R9" s="49"/>
      <c r="S9" s="50"/>
      <c r="T9" s="48"/>
      <c r="U9" s="49"/>
      <c r="V9" s="50"/>
      <c r="W9" s="48"/>
      <c r="X9" s="49"/>
      <c r="Y9" s="50"/>
      <c r="Z9" s="48"/>
      <c r="AA9" s="49"/>
      <c r="AB9" s="50"/>
      <c r="AC9" s="48"/>
      <c r="AD9" s="49"/>
      <c r="AE9" s="51"/>
      <c r="AF9" s="1"/>
    </row>
    <row r="10" spans="1:32" customFormat="1" ht="10.25" customHeight="1" x14ac:dyDescent="0.15">
      <c r="A10" s="1"/>
      <c r="B10" s="5"/>
      <c r="C10" s="52" t="s">
        <v>10</v>
      </c>
      <c r="D10" s="53"/>
      <c r="E10" s="53"/>
      <c r="F10" s="53"/>
      <c r="G10" s="53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5"/>
      <c r="AD10" s="55"/>
      <c r="AE10" s="56"/>
      <c r="AF10" s="1"/>
    </row>
    <row r="11" spans="1:32" customFormat="1" ht="10.25" customHeight="1" x14ac:dyDescent="0.15">
      <c r="A11" s="1"/>
      <c r="B11" s="5"/>
      <c r="C11" s="57" t="s">
        <v>11</v>
      </c>
      <c r="D11" s="23"/>
      <c r="E11" s="23"/>
      <c r="F11" s="23"/>
      <c r="G11" s="24"/>
      <c r="H11" s="25" t="s">
        <v>12</v>
      </c>
      <c r="I11" s="25"/>
      <c r="J11" s="25"/>
      <c r="K11" s="26" t="s">
        <v>12</v>
      </c>
      <c r="L11" s="27"/>
      <c r="M11" s="28"/>
      <c r="N11" s="26"/>
      <c r="O11" s="27"/>
      <c r="P11" s="28"/>
      <c r="Q11" s="26" t="s">
        <v>13</v>
      </c>
      <c r="R11" s="27"/>
      <c r="S11" s="28"/>
      <c r="T11" s="25" t="s">
        <v>13</v>
      </c>
      <c r="U11" s="25"/>
      <c r="V11" s="25"/>
      <c r="W11" s="25" t="s">
        <v>13</v>
      </c>
      <c r="X11" s="25"/>
      <c r="Y11" s="25"/>
      <c r="Z11" s="25" t="s">
        <v>13</v>
      </c>
      <c r="AA11" s="25"/>
      <c r="AB11" s="25"/>
      <c r="AC11" s="58"/>
      <c r="AD11" s="59"/>
      <c r="AE11" s="60"/>
      <c r="AF11" s="1"/>
    </row>
    <row r="12" spans="1:32" customFormat="1" ht="10.25" customHeight="1" x14ac:dyDescent="0.15">
      <c r="A12" s="1"/>
      <c r="B12" s="5"/>
      <c r="C12" s="57" t="s">
        <v>14</v>
      </c>
      <c r="D12" s="23"/>
      <c r="E12" s="23"/>
      <c r="F12" s="23"/>
      <c r="G12" s="24"/>
      <c r="H12" s="25" t="s">
        <v>15</v>
      </c>
      <c r="I12" s="25"/>
      <c r="J12" s="25"/>
      <c r="K12" s="26" t="s">
        <v>15</v>
      </c>
      <c r="L12" s="27"/>
      <c r="M12" s="28"/>
      <c r="N12" s="26"/>
      <c r="O12" s="27"/>
      <c r="P12" s="28"/>
      <c r="Q12" s="26" t="s">
        <v>15</v>
      </c>
      <c r="R12" s="27"/>
      <c r="S12" s="28"/>
      <c r="T12" s="26" t="s">
        <v>15</v>
      </c>
      <c r="U12" s="27"/>
      <c r="V12" s="28"/>
      <c r="W12" s="26" t="s">
        <v>15</v>
      </c>
      <c r="X12" s="27"/>
      <c r="Y12" s="28"/>
      <c r="Z12" s="26" t="s">
        <v>16</v>
      </c>
      <c r="AA12" s="27"/>
      <c r="AB12" s="28"/>
      <c r="AC12" s="58"/>
      <c r="AD12" s="59"/>
      <c r="AE12" s="60"/>
      <c r="AF12" s="1"/>
    </row>
    <row r="13" spans="1:32" customFormat="1" ht="10.25" customHeight="1" x14ac:dyDescent="0.15">
      <c r="A13" s="1"/>
      <c r="B13" s="5"/>
      <c r="C13" s="57" t="s">
        <v>17</v>
      </c>
      <c r="D13" s="23"/>
      <c r="E13" s="23"/>
      <c r="F13" s="23"/>
      <c r="G13" s="24"/>
      <c r="H13" s="25" t="s">
        <v>18</v>
      </c>
      <c r="I13" s="25"/>
      <c r="J13" s="25"/>
      <c r="K13" s="26" t="s">
        <v>19</v>
      </c>
      <c r="L13" s="27"/>
      <c r="M13" s="28"/>
      <c r="N13" s="25"/>
      <c r="O13" s="25"/>
      <c r="P13" s="25"/>
      <c r="Q13" s="25" t="s">
        <v>19</v>
      </c>
      <c r="R13" s="25"/>
      <c r="S13" s="25"/>
      <c r="T13" s="25" t="s">
        <v>18</v>
      </c>
      <c r="U13" s="25"/>
      <c r="V13" s="25"/>
      <c r="W13" s="25" t="s">
        <v>19</v>
      </c>
      <c r="X13" s="25"/>
      <c r="Y13" s="25"/>
      <c r="Z13" s="25" t="s">
        <v>19</v>
      </c>
      <c r="AA13" s="25"/>
      <c r="AB13" s="25"/>
      <c r="AC13" s="58"/>
      <c r="AD13" s="59"/>
      <c r="AE13" s="60"/>
      <c r="AF13" s="1"/>
    </row>
    <row r="14" spans="1:32" customFormat="1" ht="10.25" customHeight="1" x14ac:dyDescent="0.15">
      <c r="A14" s="1"/>
      <c r="B14" s="5"/>
      <c r="C14" s="57" t="s">
        <v>20</v>
      </c>
      <c r="D14" s="23"/>
      <c r="E14" s="23"/>
      <c r="F14" s="23"/>
      <c r="G14" s="24"/>
      <c r="H14" s="25"/>
      <c r="I14" s="25"/>
      <c r="J14" s="25"/>
      <c r="K14" s="26"/>
      <c r="L14" s="27"/>
      <c r="M14" s="28"/>
      <c r="N14" s="25"/>
      <c r="O14" s="25"/>
      <c r="P14" s="25"/>
      <c r="Q14" s="25" t="s">
        <v>21</v>
      </c>
      <c r="R14" s="25"/>
      <c r="S14" s="25"/>
      <c r="T14" s="25" t="s">
        <v>21</v>
      </c>
      <c r="U14" s="25"/>
      <c r="V14" s="25"/>
      <c r="W14" s="25" t="s">
        <v>22</v>
      </c>
      <c r="X14" s="25"/>
      <c r="Y14" s="25"/>
      <c r="Z14" s="25" t="s">
        <v>21</v>
      </c>
      <c r="AA14" s="25"/>
      <c r="AB14" s="25"/>
      <c r="AC14" s="58"/>
      <c r="AD14" s="59"/>
      <c r="AE14" s="60"/>
      <c r="AF14" s="1"/>
    </row>
    <row r="15" spans="1:32" customFormat="1" ht="10.25" customHeight="1" x14ac:dyDescent="0.15">
      <c r="A15" s="1"/>
      <c r="B15" s="5"/>
      <c r="C15" s="57" t="s">
        <v>23</v>
      </c>
      <c r="D15" s="24"/>
      <c r="E15" s="23"/>
      <c r="F15" s="23"/>
      <c r="G15" s="24" t="s">
        <v>24</v>
      </c>
      <c r="H15" s="61">
        <v>285.37400000000002</v>
      </c>
      <c r="I15" s="25"/>
      <c r="J15" s="25"/>
      <c r="K15" s="62">
        <v>285.37400000000002</v>
      </c>
      <c r="L15" s="63"/>
      <c r="M15" s="64"/>
      <c r="N15" s="61"/>
      <c r="O15" s="25"/>
      <c r="P15" s="25"/>
      <c r="Q15" s="61">
        <v>101.08</v>
      </c>
      <c r="R15" s="25"/>
      <c r="S15" s="25"/>
      <c r="T15" s="61">
        <v>101.08</v>
      </c>
      <c r="U15" s="25"/>
      <c r="V15" s="25"/>
      <c r="W15" s="61">
        <v>101.08</v>
      </c>
      <c r="X15" s="25"/>
      <c r="Y15" s="25"/>
      <c r="Z15" s="61">
        <v>101.08</v>
      </c>
      <c r="AA15" s="25"/>
      <c r="AB15" s="25"/>
      <c r="AC15" s="65"/>
      <c r="AD15" s="59"/>
      <c r="AE15" s="60"/>
      <c r="AF15" s="1"/>
    </row>
    <row r="16" spans="1:32" customFormat="1" ht="10.25" customHeight="1" x14ac:dyDescent="0.15">
      <c r="A16" s="1"/>
      <c r="B16" s="5"/>
      <c r="C16" s="66" t="str">
        <f>REPT(" ",5)&amp;IF(OR(H16="ERROR",K16="ERROR",N16="ERROR",Q16="ERROR",T16="ERROR",W16="ERROR",Z16="ERROR",AC16="ERROR"),"Flow direction should be FORWARD","")</f>
        <v xml:space="preserve">     </v>
      </c>
      <c r="D16" s="67"/>
      <c r="E16" s="33"/>
      <c r="F16" s="33"/>
      <c r="G16" s="34"/>
      <c r="H16" s="68" t="s">
        <v>158</v>
      </c>
      <c r="I16" s="69"/>
      <c r="J16" s="70"/>
      <c r="K16" s="68" t="s">
        <v>159</v>
      </c>
      <c r="L16" s="69"/>
      <c r="M16" s="70"/>
      <c r="N16" s="68" t="s">
        <v>157</v>
      </c>
      <c r="O16" s="69"/>
      <c r="P16" s="70"/>
      <c r="Q16" s="68" t="s">
        <v>159</v>
      </c>
      <c r="R16" s="69"/>
      <c r="S16" s="70"/>
      <c r="T16" s="68" t="s">
        <v>158</v>
      </c>
      <c r="U16" s="69"/>
      <c r="V16" s="70"/>
      <c r="W16" s="68" t="s">
        <v>159</v>
      </c>
      <c r="X16" s="69"/>
      <c r="Y16" s="70"/>
      <c r="Z16" s="68" t="s">
        <v>159</v>
      </c>
      <c r="AA16" s="69"/>
      <c r="AB16" s="70"/>
      <c r="AC16" s="68" t="s">
        <v>157</v>
      </c>
      <c r="AD16" s="69"/>
      <c r="AE16" s="71"/>
      <c r="AF16" s="1"/>
    </row>
    <row r="17" spans="1:32" customFormat="1" ht="10.25" customHeight="1" x14ac:dyDescent="0.15">
      <c r="A17" s="1"/>
      <c r="B17" s="5"/>
      <c r="C17" s="72" t="s">
        <v>25</v>
      </c>
      <c r="D17" s="73"/>
      <c r="E17" s="73"/>
      <c r="F17" s="73"/>
      <c r="G17" s="73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19"/>
      <c r="AD17" s="19"/>
      <c r="AE17" s="20"/>
      <c r="AF17" s="1"/>
    </row>
    <row r="18" spans="1:32" customFormat="1" ht="10.25" customHeight="1" x14ac:dyDescent="0.15">
      <c r="A18" s="1"/>
      <c r="B18" s="5"/>
      <c r="C18" s="57" t="s">
        <v>26</v>
      </c>
      <c r="D18" s="23"/>
      <c r="E18" s="23"/>
      <c r="F18" s="23"/>
      <c r="G18" s="24" t="s">
        <v>27</v>
      </c>
      <c r="H18" s="25">
        <v>122899.4</v>
      </c>
      <c r="I18" s="25"/>
      <c r="J18" s="25"/>
      <c r="K18" s="26">
        <v>122899.4</v>
      </c>
      <c r="L18" s="27"/>
      <c r="M18" s="28"/>
      <c r="N18" s="25"/>
      <c r="O18" s="25"/>
      <c r="P18" s="25"/>
      <c r="Q18" s="26">
        <v>1000</v>
      </c>
      <c r="R18" s="27"/>
      <c r="S18" s="28"/>
      <c r="T18" s="25">
        <v>1000</v>
      </c>
      <c r="U18" s="25"/>
      <c r="V18" s="25"/>
      <c r="W18" s="25">
        <v>1000</v>
      </c>
      <c r="X18" s="25"/>
      <c r="Y18" s="25"/>
      <c r="Z18" s="25">
        <v>1000</v>
      </c>
      <c r="AA18" s="25"/>
      <c r="AB18" s="25"/>
      <c r="AC18" s="58"/>
      <c r="AD18" s="59"/>
      <c r="AE18" s="60"/>
      <c r="AF18" s="1"/>
    </row>
    <row r="19" spans="1:32" customFormat="1" ht="10.25" customHeight="1" x14ac:dyDescent="0.15">
      <c r="A19" s="1"/>
      <c r="B19" s="5"/>
      <c r="C19" s="57" t="s">
        <v>28</v>
      </c>
      <c r="D19" s="23"/>
      <c r="E19" s="23"/>
      <c r="F19" s="23"/>
      <c r="G19" s="24" t="s">
        <v>29</v>
      </c>
      <c r="H19" s="74">
        <v>168.91066520065968</v>
      </c>
      <c r="I19" s="75"/>
      <c r="J19" s="76"/>
      <c r="K19" s="74">
        <v>168.91066520065968</v>
      </c>
      <c r="L19" s="75"/>
      <c r="M19" s="76"/>
      <c r="N19" s="74" t="s">
        <v>157</v>
      </c>
      <c r="O19" s="75"/>
      <c r="P19" s="76"/>
      <c r="Q19" s="77" t="s">
        <v>157</v>
      </c>
      <c r="R19" s="77"/>
      <c r="S19" s="77"/>
      <c r="T19" s="77" t="s">
        <v>157</v>
      </c>
      <c r="U19" s="77"/>
      <c r="V19" s="77"/>
      <c r="W19" s="77" t="s">
        <v>157</v>
      </c>
      <c r="X19" s="77"/>
      <c r="Y19" s="77"/>
      <c r="Z19" s="77" t="s">
        <v>157</v>
      </c>
      <c r="AA19" s="77"/>
      <c r="AB19" s="77"/>
      <c r="AC19" s="78" t="s">
        <v>157</v>
      </c>
      <c r="AD19" s="79"/>
      <c r="AE19" s="80"/>
      <c r="AF19" s="1"/>
    </row>
    <row r="20" spans="1:32" customFormat="1" ht="10.25" hidden="1" customHeight="1" x14ac:dyDescent="0.15">
      <c r="A20" s="1"/>
      <c r="B20" s="5"/>
      <c r="C20" s="57" t="s">
        <v>30</v>
      </c>
      <c r="D20" s="23"/>
      <c r="E20" s="23"/>
      <c r="F20" s="23"/>
      <c r="G20" s="24" t="s">
        <v>31</v>
      </c>
      <c r="H20" s="81"/>
      <c r="I20" s="81"/>
      <c r="J20" s="81"/>
      <c r="K20" s="82"/>
      <c r="L20" s="83"/>
      <c r="M20" s="84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5"/>
      <c r="AD20" s="86"/>
      <c r="AE20" s="87"/>
      <c r="AF20" s="1"/>
    </row>
    <row r="21" spans="1:32" customFormat="1" ht="10.25" hidden="1" customHeight="1" x14ac:dyDescent="0.15">
      <c r="A21" s="1"/>
      <c r="B21" s="5"/>
      <c r="C21" s="57" t="s">
        <v>32</v>
      </c>
      <c r="D21" s="23"/>
      <c r="E21" s="23"/>
      <c r="F21" s="23"/>
      <c r="G21" s="24" t="s">
        <v>27</v>
      </c>
      <c r="H21" s="88"/>
      <c r="I21" s="89"/>
      <c r="J21" s="90"/>
      <c r="K21" s="88"/>
      <c r="L21" s="89"/>
      <c r="M21" s="90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2"/>
      <c r="AD21" s="93"/>
      <c r="AE21" s="94"/>
      <c r="AF21" s="1"/>
    </row>
    <row r="22" spans="1:32" customFormat="1" ht="10.25" hidden="1" customHeight="1" x14ac:dyDescent="0.15">
      <c r="A22" s="1"/>
      <c r="B22" s="5"/>
      <c r="C22" s="57" t="s">
        <v>33</v>
      </c>
      <c r="D22" s="23"/>
      <c r="E22" s="23"/>
      <c r="F22" s="23"/>
      <c r="G22" s="24" t="s">
        <v>34</v>
      </c>
      <c r="H22" s="88"/>
      <c r="I22" s="89"/>
      <c r="J22" s="90"/>
      <c r="K22" s="88"/>
      <c r="L22" s="89"/>
      <c r="M22" s="90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2"/>
      <c r="AD22" s="93"/>
      <c r="AE22" s="94"/>
      <c r="AF22" s="1"/>
    </row>
    <row r="23" spans="1:32" customFormat="1" ht="11.25" customHeight="1" x14ac:dyDescent="0.15">
      <c r="A23" s="1"/>
      <c r="B23" s="5"/>
      <c r="C23" s="57" t="s">
        <v>35</v>
      </c>
      <c r="D23" s="23"/>
      <c r="E23" s="23"/>
      <c r="F23" s="23"/>
      <c r="G23" s="24" t="s">
        <v>29</v>
      </c>
      <c r="H23" s="74" t="s">
        <v>157</v>
      </c>
      <c r="I23" s="75"/>
      <c r="J23" s="76"/>
      <c r="K23" s="74" t="s">
        <v>157</v>
      </c>
      <c r="L23" s="75"/>
      <c r="M23" s="76"/>
      <c r="N23" s="74" t="s">
        <v>157</v>
      </c>
      <c r="O23" s="75"/>
      <c r="P23" s="76"/>
      <c r="Q23" s="77">
        <v>843.92857142857144</v>
      </c>
      <c r="R23" s="77"/>
      <c r="S23" s="77"/>
      <c r="T23" s="77">
        <v>843.92857142857144</v>
      </c>
      <c r="U23" s="77"/>
      <c r="V23" s="77"/>
      <c r="W23" s="77">
        <v>843.92857142857144</v>
      </c>
      <c r="X23" s="77"/>
      <c r="Y23" s="77"/>
      <c r="Z23" s="77">
        <v>843.92857142857144</v>
      </c>
      <c r="AA23" s="77"/>
      <c r="AB23" s="77"/>
      <c r="AC23" s="78" t="s">
        <v>157</v>
      </c>
      <c r="AD23" s="79"/>
      <c r="AE23" s="80"/>
      <c r="AF23" s="1"/>
    </row>
    <row r="24" spans="1:32" customFormat="1" ht="10.25" customHeight="1" x14ac:dyDescent="0.15">
      <c r="A24" s="1"/>
      <c r="B24" s="5"/>
      <c r="C24" s="57" t="s">
        <v>36</v>
      </c>
      <c r="D24" s="23"/>
      <c r="E24" s="23"/>
      <c r="F24" s="23"/>
      <c r="G24" s="24" t="s">
        <v>37</v>
      </c>
      <c r="H24" s="25">
        <v>168.5</v>
      </c>
      <c r="I24" s="25"/>
      <c r="J24" s="25"/>
      <c r="K24" s="26">
        <v>168.5</v>
      </c>
      <c r="L24" s="27"/>
      <c r="M24" s="28"/>
      <c r="N24" s="25"/>
      <c r="O24" s="25"/>
      <c r="P24" s="25"/>
      <c r="Q24" s="25">
        <v>35</v>
      </c>
      <c r="R24" s="25"/>
      <c r="S24" s="25"/>
      <c r="T24" s="25">
        <v>35</v>
      </c>
      <c r="U24" s="25"/>
      <c r="V24" s="25"/>
      <c r="W24" s="25">
        <v>35</v>
      </c>
      <c r="X24" s="25"/>
      <c r="Y24" s="25"/>
      <c r="Z24" s="25">
        <v>35</v>
      </c>
      <c r="AA24" s="25"/>
      <c r="AB24" s="25"/>
      <c r="AC24" s="58"/>
      <c r="AD24" s="59"/>
      <c r="AE24" s="60"/>
      <c r="AF24" s="1"/>
    </row>
    <row r="25" spans="1:32" customFormat="1" ht="10.25" customHeight="1" x14ac:dyDescent="0.15">
      <c r="A25" s="1"/>
      <c r="B25" s="5"/>
      <c r="C25" s="57" t="s">
        <v>38</v>
      </c>
      <c r="D25" s="23"/>
      <c r="E25" s="23"/>
      <c r="F25" s="23"/>
      <c r="G25" s="24" t="s">
        <v>39</v>
      </c>
      <c r="H25" s="26">
        <v>727.6</v>
      </c>
      <c r="I25" s="27"/>
      <c r="J25" s="28"/>
      <c r="K25" s="26">
        <v>727.6</v>
      </c>
      <c r="L25" s="27"/>
      <c r="M25" s="28"/>
      <c r="N25" s="26"/>
      <c r="O25" s="27"/>
      <c r="P25" s="28"/>
      <c r="Q25" s="26"/>
      <c r="R25" s="27"/>
      <c r="S25" s="28"/>
      <c r="T25" s="26">
        <v>998</v>
      </c>
      <c r="U25" s="27"/>
      <c r="V25" s="28"/>
      <c r="W25" s="26"/>
      <c r="X25" s="27"/>
      <c r="Y25" s="28"/>
      <c r="Z25" s="26"/>
      <c r="AA25" s="27"/>
      <c r="AB25" s="28"/>
      <c r="AC25" s="58"/>
      <c r="AD25" s="59"/>
      <c r="AE25" s="60"/>
      <c r="AF25" s="1"/>
    </row>
    <row r="26" spans="1:32" customFormat="1" ht="10.25" customHeight="1" x14ac:dyDescent="0.15">
      <c r="A26" s="1"/>
      <c r="B26" s="5"/>
      <c r="C26" s="57" t="s">
        <v>40</v>
      </c>
      <c r="D26" s="23"/>
      <c r="E26" s="23"/>
      <c r="F26" s="23"/>
      <c r="G26" s="24"/>
      <c r="H26" s="25"/>
      <c r="I26" s="25"/>
      <c r="J26" s="25"/>
      <c r="K26" s="26"/>
      <c r="L26" s="27"/>
      <c r="M26" s="28"/>
      <c r="N26" s="26"/>
      <c r="O26" s="27"/>
      <c r="P26" s="28"/>
      <c r="Q26" s="26">
        <v>28</v>
      </c>
      <c r="R26" s="27"/>
      <c r="S26" s="28"/>
      <c r="T26" s="26">
        <v>28</v>
      </c>
      <c r="U26" s="27"/>
      <c r="V26" s="28"/>
      <c r="W26" s="26">
        <v>28</v>
      </c>
      <c r="X26" s="27"/>
      <c r="Y26" s="28"/>
      <c r="Z26" s="26">
        <v>28</v>
      </c>
      <c r="AA26" s="27"/>
      <c r="AB26" s="28"/>
      <c r="AC26" s="58"/>
      <c r="AD26" s="59"/>
      <c r="AE26" s="60"/>
      <c r="AF26" s="1"/>
    </row>
    <row r="27" spans="1:32" customFormat="1" ht="10.25" customHeight="1" x14ac:dyDescent="0.15">
      <c r="A27" s="1"/>
      <c r="B27" s="5"/>
      <c r="C27" s="57" t="s">
        <v>41</v>
      </c>
      <c r="D27" s="23"/>
      <c r="E27" s="23"/>
      <c r="F27" s="23"/>
      <c r="G27" s="24"/>
      <c r="H27" s="25"/>
      <c r="I27" s="25"/>
      <c r="J27" s="25"/>
      <c r="K27" s="26"/>
      <c r="L27" s="27"/>
      <c r="M27" s="28"/>
      <c r="N27" s="26"/>
      <c r="O27" s="27"/>
      <c r="P27" s="28"/>
      <c r="Q27" s="26">
        <v>0.9</v>
      </c>
      <c r="R27" s="27"/>
      <c r="S27" s="28"/>
      <c r="T27" s="26">
        <v>0.9</v>
      </c>
      <c r="U27" s="27"/>
      <c r="V27" s="28"/>
      <c r="W27" s="26">
        <v>0.9</v>
      </c>
      <c r="X27" s="27"/>
      <c r="Y27" s="28"/>
      <c r="Z27" s="26">
        <v>0.9</v>
      </c>
      <c r="AA27" s="27"/>
      <c r="AB27" s="28"/>
      <c r="AC27" s="58"/>
      <c r="AD27" s="59"/>
      <c r="AE27" s="60"/>
      <c r="AF27" s="1"/>
    </row>
    <row r="28" spans="1:32" customFormat="1" ht="10.25" customHeight="1" x14ac:dyDescent="0.15">
      <c r="A28" s="1"/>
      <c r="B28" s="5"/>
      <c r="C28" s="57" t="s">
        <v>42</v>
      </c>
      <c r="D28" s="23"/>
      <c r="E28" s="23"/>
      <c r="F28" s="23"/>
      <c r="G28" s="24"/>
      <c r="H28" s="25"/>
      <c r="I28" s="25"/>
      <c r="J28" s="25"/>
      <c r="K28" s="26"/>
      <c r="L28" s="27"/>
      <c r="M28" s="28"/>
      <c r="N28" s="26"/>
      <c r="O28" s="27"/>
      <c r="P28" s="28"/>
      <c r="Q28" s="26">
        <v>1.3</v>
      </c>
      <c r="R28" s="27"/>
      <c r="S28" s="28"/>
      <c r="T28" s="26">
        <v>1.3</v>
      </c>
      <c r="U28" s="27"/>
      <c r="V28" s="28"/>
      <c r="W28" s="26">
        <v>1.3</v>
      </c>
      <c r="X28" s="27"/>
      <c r="Y28" s="28"/>
      <c r="Z28" s="26">
        <v>1.3</v>
      </c>
      <c r="AA28" s="27"/>
      <c r="AB28" s="28"/>
      <c r="AC28" s="26"/>
      <c r="AD28" s="27"/>
      <c r="AE28" s="30"/>
      <c r="AF28" s="1"/>
    </row>
    <row r="29" spans="1:32" customFormat="1" ht="10.25" customHeight="1" x14ac:dyDescent="0.15">
      <c r="A29" s="1"/>
      <c r="B29" s="5"/>
      <c r="C29" s="95" t="s">
        <v>43</v>
      </c>
      <c r="D29" s="96"/>
      <c r="E29" s="96"/>
      <c r="F29" s="96"/>
      <c r="G29" s="97" t="s">
        <v>44</v>
      </c>
      <c r="H29" s="98">
        <v>0.17399999999999999</v>
      </c>
      <c r="I29" s="98"/>
      <c r="J29" s="98"/>
      <c r="K29" s="99">
        <v>0.17399999999999999</v>
      </c>
      <c r="L29" s="100"/>
      <c r="M29" s="101"/>
      <c r="N29" s="99"/>
      <c r="O29" s="100"/>
      <c r="P29" s="101"/>
      <c r="Q29" s="99">
        <v>1.2E-2</v>
      </c>
      <c r="R29" s="100"/>
      <c r="S29" s="101"/>
      <c r="T29" s="99">
        <v>1.2E-2</v>
      </c>
      <c r="U29" s="100"/>
      <c r="V29" s="101"/>
      <c r="W29" s="99">
        <v>1.2E-2</v>
      </c>
      <c r="X29" s="100"/>
      <c r="Y29" s="101"/>
      <c r="Z29" s="99">
        <v>1.2E-2</v>
      </c>
      <c r="AA29" s="100"/>
      <c r="AB29" s="101"/>
      <c r="AC29" s="102"/>
      <c r="AD29" s="103"/>
      <c r="AE29" s="104"/>
      <c r="AF29" s="1"/>
    </row>
    <row r="30" spans="1:32" customFormat="1" ht="10.25" customHeight="1" x14ac:dyDescent="0.15">
      <c r="A30" s="1"/>
      <c r="B30" s="5"/>
      <c r="C30" s="105" t="s">
        <v>45</v>
      </c>
      <c r="D30" s="106"/>
      <c r="E30" s="106"/>
      <c r="F30" s="106"/>
      <c r="G30" s="3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5"/>
      <c r="AD30" s="55"/>
      <c r="AE30" s="56"/>
      <c r="AF30" s="1"/>
    </row>
    <row r="31" spans="1:32" customFormat="1" ht="10.25" customHeight="1" x14ac:dyDescent="0.15">
      <c r="A31" s="1"/>
      <c r="B31" s="5"/>
      <c r="C31" s="57" t="s">
        <v>46</v>
      </c>
      <c r="D31" s="23"/>
      <c r="E31" s="107" t="str">
        <f>IF(OR(BN345="TRUE",BO345="TRUE",BP345="TRUE",BQ345="TRUE",BR345="TRUE",BS345="TRUE",BT345="TRUE",BU345="TRUE"),"Entry Main Pipe DN","")</f>
        <v/>
      </c>
      <c r="F31" s="107"/>
      <c r="G31" s="24" t="s">
        <v>47</v>
      </c>
      <c r="H31" s="26">
        <v>12</v>
      </c>
      <c r="I31" s="27"/>
      <c r="J31" s="28"/>
      <c r="K31" s="26">
        <v>12</v>
      </c>
      <c r="L31" s="27"/>
      <c r="M31" s="28"/>
      <c r="N31" s="25"/>
      <c r="O31" s="25"/>
      <c r="P31" s="25"/>
      <c r="Q31" s="25">
        <v>4</v>
      </c>
      <c r="R31" s="25"/>
      <c r="S31" s="25"/>
      <c r="T31" s="25">
        <v>4</v>
      </c>
      <c r="U31" s="25"/>
      <c r="V31" s="25"/>
      <c r="W31" s="25">
        <v>4</v>
      </c>
      <c r="X31" s="25"/>
      <c r="Y31" s="25"/>
      <c r="Z31" s="25">
        <v>4</v>
      </c>
      <c r="AA31" s="25"/>
      <c r="AB31" s="25"/>
      <c r="AC31" s="58"/>
      <c r="AD31" s="59"/>
      <c r="AE31" s="60"/>
      <c r="AF31" s="1"/>
    </row>
    <row r="32" spans="1:32" customFormat="1" ht="10.25" customHeight="1" x14ac:dyDescent="0.15">
      <c r="A32" s="1"/>
      <c r="B32" s="5"/>
      <c r="C32" s="57" t="s">
        <v>48</v>
      </c>
      <c r="D32" s="23"/>
      <c r="E32" s="107" t="str">
        <f>IF(OR(BN345="TRUE",BO345="TRUE",BP345="TRUE",BQ345="TRUE",BR345="TRUE",BS345="TRUE",BT345="TRUE",BU345="TRUE"),"and Pipe Schedule","")</f>
        <v/>
      </c>
      <c r="F32" s="107"/>
      <c r="G32" s="24"/>
      <c r="H32" s="108">
        <v>40</v>
      </c>
      <c r="I32" s="108"/>
      <c r="J32" s="108"/>
      <c r="K32" s="26">
        <v>40</v>
      </c>
      <c r="L32" s="27"/>
      <c r="M32" s="28"/>
      <c r="N32" s="25"/>
      <c r="O32" s="25"/>
      <c r="P32" s="25"/>
      <c r="Q32" s="25">
        <v>40</v>
      </c>
      <c r="R32" s="25"/>
      <c r="S32" s="25"/>
      <c r="T32" s="25">
        <v>40</v>
      </c>
      <c r="U32" s="25"/>
      <c r="V32" s="25"/>
      <c r="W32" s="25">
        <v>40</v>
      </c>
      <c r="X32" s="25"/>
      <c r="Y32" s="25"/>
      <c r="Z32" s="25">
        <v>40</v>
      </c>
      <c r="AA32" s="25"/>
      <c r="AB32" s="25"/>
      <c r="AC32" s="58"/>
      <c r="AD32" s="59"/>
      <c r="AE32" s="60"/>
      <c r="AF32" s="1"/>
    </row>
    <row r="33" spans="1:32" customFormat="1" ht="10.25" customHeight="1" x14ac:dyDescent="0.15">
      <c r="A33" s="1"/>
      <c r="B33" s="5"/>
      <c r="C33" s="57" t="s">
        <v>49</v>
      </c>
      <c r="D33" s="23"/>
      <c r="E33" s="107" t="str">
        <f>IF(OR(BN345="TRUE",BO345="TRUE",BP345="TRUE",BQ345="TRUE",BR345="TRUE",BS345="TRUE",BT345="TRUE",BU345="TRUE"),"or User Supply ID","")</f>
        <v/>
      </c>
      <c r="F33" s="107"/>
      <c r="G33" s="24" t="s">
        <v>50</v>
      </c>
      <c r="H33" s="26"/>
      <c r="I33" s="27"/>
      <c r="J33" s="28"/>
      <c r="K33" s="26"/>
      <c r="L33" s="27"/>
      <c r="M33" s="28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58"/>
      <c r="AD33" s="59"/>
      <c r="AE33" s="60"/>
      <c r="AF33" s="1"/>
    </row>
    <row r="34" spans="1:32" customFormat="1" ht="10.25" customHeight="1" x14ac:dyDescent="0.15">
      <c r="A34" s="1"/>
      <c r="B34" s="5"/>
      <c r="C34" s="57" t="s">
        <v>51</v>
      </c>
      <c r="D34" s="23"/>
      <c r="E34" s="23"/>
      <c r="F34" s="23"/>
      <c r="G34" s="24" t="s">
        <v>50</v>
      </c>
      <c r="H34" s="74">
        <v>303.18</v>
      </c>
      <c r="I34" s="75"/>
      <c r="J34" s="76"/>
      <c r="K34" s="88">
        <v>303.18</v>
      </c>
      <c r="L34" s="89"/>
      <c r="M34" s="90"/>
      <c r="N34" s="91" t="s">
        <v>157</v>
      </c>
      <c r="O34" s="91"/>
      <c r="P34" s="91"/>
      <c r="Q34" s="91">
        <v>102.25999999999999</v>
      </c>
      <c r="R34" s="91"/>
      <c r="S34" s="91"/>
      <c r="T34" s="91">
        <v>102.25999999999999</v>
      </c>
      <c r="U34" s="91"/>
      <c r="V34" s="91"/>
      <c r="W34" s="91">
        <v>102.25999999999999</v>
      </c>
      <c r="X34" s="91"/>
      <c r="Y34" s="91"/>
      <c r="Z34" s="91">
        <v>102.25999999999999</v>
      </c>
      <c r="AA34" s="91"/>
      <c r="AB34" s="91"/>
      <c r="AC34" s="92" t="s">
        <v>157</v>
      </c>
      <c r="AD34" s="93"/>
      <c r="AE34" s="94"/>
      <c r="AF34" s="1"/>
    </row>
    <row r="35" spans="1:32" customFormat="1" ht="10.25" customHeight="1" x14ac:dyDescent="0.15">
      <c r="A35" s="1"/>
      <c r="B35" s="5"/>
      <c r="C35" s="57" t="s">
        <v>52</v>
      </c>
      <c r="D35" s="23"/>
      <c r="E35" s="23"/>
      <c r="F35" s="23"/>
      <c r="G35" s="24" t="s">
        <v>50</v>
      </c>
      <c r="H35" s="26"/>
      <c r="I35" s="27"/>
      <c r="J35" s="28"/>
      <c r="K35" s="26"/>
      <c r="L35" s="27"/>
      <c r="M35" s="28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58"/>
      <c r="AD35" s="59"/>
      <c r="AE35" s="60"/>
      <c r="AF35" s="1"/>
    </row>
    <row r="36" spans="1:32" customFormat="1" ht="10.25" customHeight="1" x14ac:dyDescent="0.15">
      <c r="A36" s="1"/>
      <c r="B36" s="5"/>
      <c r="C36" s="57" t="s">
        <v>53</v>
      </c>
      <c r="D36" s="23"/>
      <c r="E36" s="23"/>
      <c r="F36" s="23"/>
      <c r="G36" s="24" t="s">
        <v>50</v>
      </c>
      <c r="H36" s="26"/>
      <c r="I36" s="27"/>
      <c r="J36" s="28"/>
      <c r="K36" s="26"/>
      <c r="L36" s="27"/>
      <c r="M36" s="28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58"/>
      <c r="AD36" s="59"/>
      <c r="AE36" s="60"/>
      <c r="AF36" s="1"/>
    </row>
    <row r="37" spans="1:32" customFormat="1" ht="10.25" customHeight="1" x14ac:dyDescent="0.15">
      <c r="A37" s="1"/>
      <c r="B37" s="5"/>
      <c r="C37" s="57" t="s">
        <v>54</v>
      </c>
      <c r="D37" s="23"/>
      <c r="E37" s="23"/>
      <c r="F37" s="23"/>
      <c r="G37" s="24" t="s">
        <v>50</v>
      </c>
      <c r="H37" s="25">
        <v>4.5699999999999998E-2</v>
      </c>
      <c r="I37" s="25"/>
      <c r="J37" s="25"/>
      <c r="K37" s="26">
        <v>4.5699999999999998E-2</v>
      </c>
      <c r="L37" s="27"/>
      <c r="M37" s="28"/>
      <c r="N37" s="25"/>
      <c r="O37" s="25"/>
      <c r="P37" s="25"/>
      <c r="Q37" s="25">
        <v>4.5699999999999998E-2</v>
      </c>
      <c r="R37" s="25"/>
      <c r="S37" s="25"/>
      <c r="T37" s="25">
        <v>4.5699999999999998E-2</v>
      </c>
      <c r="U37" s="25"/>
      <c r="V37" s="25"/>
      <c r="W37" s="25">
        <v>4.5699999999999998E-2</v>
      </c>
      <c r="X37" s="25"/>
      <c r="Y37" s="25"/>
      <c r="Z37" s="25">
        <v>4.5699999999999998E-2</v>
      </c>
      <c r="AA37" s="25"/>
      <c r="AB37" s="25"/>
      <c r="AC37" s="58">
        <v>4.5699999999999998E-2</v>
      </c>
      <c r="AD37" s="59"/>
      <c r="AE37" s="60"/>
      <c r="AF37" s="1"/>
    </row>
    <row r="38" spans="1:32" customFormat="1" ht="10.25" customHeight="1" x14ac:dyDescent="0.15">
      <c r="A38" s="1"/>
      <c r="B38" s="5"/>
      <c r="C38" s="57" t="s">
        <v>55</v>
      </c>
      <c r="D38" s="23"/>
      <c r="E38" s="23"/>
      <c r="F38" s="23"/>
      <c r="G38" s="24" t="s">
        <v>56</v>
      </c>
      <c r="H38" s="25">
        <v>25</v>
      </c>
      <c r="I38" s="25"/>
      <c r="J38" s="25"/>
      <c r="K38" s="26">
        <v>4.9130000000000003</v>
      </c>
      <c r="L38" s="27"/>
      <c r="M38" s="28"/>
      <c r="N38" s="25"/>
      <c r="O38" s="25"/>
      <c r="P38" s="25"/>
      <c r="Q38" s="25">
        <v>1000</v>
      </c>
      <c r="R38" s="25"/>
      <c r="S38" s="25"/>
      <c r="T38" s="25">
        <v>1000</v>
      </c>
      <c r="U38" s="25"/>
      <c r="V38" s="25"/>
      <c r="W38" s="25">
        <v>1000</v>
      </c>
      <c r="X38" s="25"/>
      <c r="Y38" s="25"/>
      <c r="Z38" s="25">
        <v>1000</v>
      </c>
      <c r="AA38" s="25"/>
      <c r="AB38" s="25"/>
      <c r="AC38" s="58">
        <v>3</v>
      </c>
      <c r="AD38" s="59"/>
      <c r="AE38" s="60"/>
      <c r="AF38" s="1"/>
    </row>
    <row r="39" spans="1:32" customFormat="1" ht="10.25" customHeight="1" x14ac:dyDescent="0.15">
      <c r="A39" s="1"/>
      <c r="B39" s="5"/>
      <c r="C39" s="57" t="s">
        <v>57</v>
      </c>
      <c r="D39" s="23"/>
      <c r="E39" s="23"/>
      <c r="F39" s="23"/>
      <c r="G39" s="24" t="s">
        <v>56</v>
      </c>
      <c r="H39" s="25">
        <v>0</v>
      </c>
      <c r="I39" s="25"/>
      <c r="J39" s="25"/>
      <c r="K39" s="26"/>
      <c r="L39" s="27"/>
      <c r="M39" s="28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58"/>
      <c r="AD39" s="59"/>
      <c r="AE39" s="60"/>
      <c r="AF39" s="1"/>
    </row>
    <row r="40" spans="1:32" customFormat="1" ht="10.25" customHeight="1" x14ac:dyDescent="0.15">
      <c r="A40" s="1"/>
      <c r="B40" s="5"/>
      <c r="C40" s="57" t="s">
        <v>58</v>
      </c>
      <c r="D40" s="23"/>
      <c r="E40" s="23"/>
      <c r="F40" s="23"/>
      <c r="G40" s="24" t="s">
        <v>59</v>
      </c>
      <c r="H40" s="25">
        <v>100</v>
      </c>
      <c r="I40" s="25"/>
      <c r="J40" s="25"/>
      <c r="K40" s="26">
        <v>100</v>
      </c>
      <c r="L40" s="27"/>
      <c r="M40" s="28"/>
      <c r="N40" s="25"/>
      <c r="O40" s="25"/>
      <c r="P40" s="25"/>
      <c r="Q40" s="25">
        <v>100</v>
      </c>
      <c r="R40" s="25"/>
      <c r="S40" s="25"/>
      <c r="T40" s="25">
        <v>100</v>
      </c>
      <c r="U40" s="25"/>
      <c r="V40" s="25"/>
      <c r="W40" s="25">
        <v>100</v>
      </c>
      <c r="X40" s="25"/>
      <c r="Y40" s="25"/>
      <c r="Z40" s="25">
        <v>100</v>
      </c>
      <c r="AA40" s="25"/>
      <c r="AB40" s="25"/>
      <c r="AC40" s="58"/>
      <c r="AD40" s="59"/>
      <c r="AE40" s="60"/>
      <c r="AF40" s="1"/>
    </row>
    <row r="41" spans="1:32" customFormat="1" ht="10.25" customHeight="1" x14ac:dyDescent="0.15">
      <c r="A41" s="1"/>
      <c r="B41" s="5"/>
      <c r="C41" s="57" t="s">
        <v>60</v>
      </c>
      <c r="D41" s="23"/>
      <c r="E41" s="23"/>
      <c r="F41" s="23"/>
      <c r="G41" s="24"/>
      <c r="H41" s="25" t="s">
        <v>61</v>
      </c>
      <c r="I41" s="25"/>
      <c r="J41" s="25"/>
      <c r="K41" s="26" t="s">
        <v>61</v>
      </c>
      <c r="L41" s="27"/>
      <c r="M41" s="28"/>
      <c r="N41" s="25"/>
      <c r="O41" s="25"/>
      <c r="P41" s="25"/>
      <c r="Q41" s="25" t="s">
        <v>61</v>
      </c>
      <c r="R41" s="25"/>
      <c r="S41" s="25"/>
      <c r="T41" s="25" t="s">
        <v>61</v>
      </c>
      <c r="U41" s="25"/>
      <c r="V41" s="25"/>
      <c r="W41" s="25" t="s">
        <v>61</v>
      </c>
      <c r="X41" s="25"/>
      <c r="Y41" s="25"/>
      <c r="Z41" s="25" t="s">
        <v>61</v>
      </c>
      <c r="AA41" s="25"/>
      <c r="AB41" s="25"/>
      <c r="AC41" s="58" t="s">
        <v>61</v>
      </c>
      <c r="AD41" s="59"/>
      <c r="AE41" s="60"/>
      <c r="AF41" s="1"/>
    </row>
    <row r="42" spans="1:32" customFormat="1" ht="10.25" customHeight="1" x14ac:dyDescent="0.15">
      <c r="A42" s="1"/>
      <c r="B42" s="5"/>
      <c r="C42" s="57" t="s">
        <v>62</v>
      </c>
      <c r="D42" s="23"/>
      <c r="E42" s="23"/>
      <c r="F42" s="23"/>
      <c r="G42" s="24"/>
      <c r="H42" s="109" t="s">
        <v>160</v>
      </c>
      <c r="I42" s="109"/>
      <c r="J42" s="109"/>
      <c r="K42" s="110" t="s">
        <v>160</v>
      </c>
      <c r="L42" s="111"/>
      <c r="M42" s="112"/>
      <c r="N42" s="109" t="s">
        <v>157</v>
      </c>
      <c r="O42" s="109"/>
      <c r="P42" s="109"/>
      <c r="Q42" s="109" t="s">
        <v>160</v>
      </c>
      <c r="R42" s="109"/>
      <c r="S42" s="109"/>
      <c r="T42" s="109" t="s">
        <v>160</v>
      </c>
      <c r="U42" s="109"/>
      <c r="V42" s="109"/>
      <c r="W42" s="109" t="s">
        <v>160</v>
      </c>
      <c r="X42" s="109"/>
      <c r="Y42" s="109"/>
      <c r="Z42" s="109" t="s">
        <v>157</v>
      </c>
      <c r="AA42" s="109"/>
      <c r="AB42" s="109"/>
      <c r="AC42" s="113" t="s">
        <v>157</v>
      </c>
      <c r="AD42" s="114"/>
      <c r="AE42" s="115"/>
      <c r="AF42" s="1"/>
    </row>
    <row r="43" spans="1:32" customFormat="1" ht="10.25" customHeight="1" x14ac:dyDescent="0.15">
      <c r="A43" s="1"/>
      <c r="B43" s="5"/>
      <c r="C43" s="116" t="s">
        <v>63</v>
      </c>
      <c r="D43" s="117"/>
      <c r="E43" s="118" t="s">
        <v>64</v>
      </c>
      <c r="F43" s="118"/>
      <c r="G43" s="24"/>
      <c r="H43" s="119"/>
      <c r="I43" s="75">
        <v>0.16317361554623164</v>
      </c>
      <c r="J43" s="75"/>
      <c r="K43" s="120"/>
      <c r="L43" s="121">
        <v>0.16317361554623164</v>
      </c>
      <c r="M43" s="90"/>
      <c r="N43" s="120"/>
      <c r="O43" s="75" t="s">
        <v>157</v>
      </c>
      <c r="P43" s="89"/>
      <c r="Q43" s="120"/>
      <c r="R43" s="75">
        <v>0.18899276967157932</v>
      </c>
      <c r="S43" s="89"/>
      <c r="T43" s="120"/>
      <c r="U43" s="75">
        <v>0.18899276967157932</v>
      </c>
      <c r="V43" s="89"/>
      <c r="W43" s="120"/>
      <c r="X43" s="75">
        <v>0.18899276967157932</v>
      </c>
      <c r="Y43" s="89"/>
      <c r="Z43" s="120"/>
      <c r="AA43" s="75" t="s">
        <v>157</v>
      </c>
      <c r="AB43" s="89"/>
      <c r="AC43" s="120"/>
      <c r="AD43" s="75" t="s">
        <v>157</v>
      </c>
      <c r="AE43" s="122"/>
      <c r="AF43" s="1"/>
    </row>
    <row r="44" spans="1:32" customFormat="1" ht="10.25" customHeight="1" x14ac:dyDescent="0.15">
      <c r="A44" s="1"/>
      <c r="B44" s="5"/>
      <c r="C44" s="123"/>
      <c r="D44" s="124"/>
      <c r="E44" s="23" t="s">
        <v>65</v>
      </c>
      <c r="F44" s="23"/>
      <c r="G44" s="24"/>
      <c r="H44" s="119"/>
      <c r="I44" s="75">
        <v>0.21772664033937073</v>
      </c>
      <c r="J44" s="75"/>
      <c r="K44" s="120">
        <v>9</v>
      </c>
      <c r="L44" s="121">
        <v>0.21772664033937073</v>
      </c>
      <c r="M44" s="90"/>
      <c r="N44" s="120"/>
      <c r="O44" s="75" t="s">
        <v>157</v>
      </c>
      <c r="P44" s="89"/>
      <c r="Q44" s="120"/>
      <c r="R44" s="75">
        <v>0.25245297283967455</v>
      </c>
      <c r="S44" s="89"/>
      <c r="T44" s="120"/>
      <c r="U44" s="75">
        <v>0.25245297283967455</v>
      </c>
      <c r="V44" s="89"/>
      <c r="W44" s="120"/>
      <c r="X44" s="75">
        <v>0.25245297283967455</v>
      </c>
      <c r="Y44" s="89"/>
      <c r="Z44" s="120"/>
      <c r="AA44" s="75" t="s">
        <v>157</v>
      </c>
      <c r="AB44" s="89"/>
      <c r="AC44" s="120"/>
      <c r="AD44" s="75" t="s">
        <v>157</v>
      </c>
      <c r="AE44" s="122"/>
      <c r="AF44" s="1"/>
    </row>
    <row r="45" spans="1:32" customFormat="1" ht="10.25" customHeight="1" x14ac:dyDescent="0.15">
      <c r="A45" s="1"/>
      <c r="B45" s="5"/>
      <c r="C45" s="125"/>
      <c r="D45" s="126"/>
      <c r="E45" s="23" t="s">
        <v>66</v>
      </c>
      <c r="F45" s="23"/>
      <c r="G45" s="24"/>
      <c r="H45" s="119"/>
      <c r="I45" s="75">
        <v>0.32634723109246327</v>
      </c>
      <c r="J45" s="75"/>
      <c r="K45" s="120"/>
      <c r="L45" s="121">
        <v>0.32634723109246327</v>
      </c>
      <c r="M45" s="90"/>
      <c r="N45" s="120"/>
      <c r="O45" s="75" t="s">
        <v>157</v>
      </c>
      <c r="P45" s="89"/>
      <c r="Q45" s="120"/>
      <c r="R45" s="75">
        <v>0.37798553934315865</v>
      </c>
      <c r="S45" s="89"/>
      <c r="T45" s="120"/>
      <c r="U45" s="75">
        <v>0.37798553934315865</v>
      </c>
      <c r="V45" s="89"/>
      <c r="W45" s="120"/>
      <c r="X45" s="75">
        <v>0.37798553934315865</v>
      </c>
      <c r="Y45" s="89"/>
      <c r="Z45" s="120"/>
      <c r="AA45" s="75" t="s">
        <v>157</v>
      </c>
      <c r="AB45" s="89"/>
      <c r="AC45" s="120"/>
      <c r="AD45" s="75" t="s">
        <v>157</v>
      </c>
      <c r="AE45" s="122"/>
      <c r="AF45" s="1"/>
    </row>
    <row r="46" spans="1:32" customFormat="1" ht="10.25" customHeight="1" x14ac:dyDescent="0.15">
      <c r="A46" s="1"/>
      <c r="B46" s="5"/>
      <c r="C46" s="116" t="s">
        <v>67</v>
      </c>
      <c r="D46" s="117"/>
      <c r="E46" s="23" t="s">
        <v>68</v>
      </c>
      <c r="F46" s="23"/>
      <c r="G46" s="24"/>
      <c r="H46" s="119"/>
      <c r="I46" s="75">
        <v>1.0849922604479616</v>
      </c>
      <c r="J46" s="75"/>
      <c r="K46" s="120"/>
      <c r="L46" s="121">
        <v>1.0849922604479616</v>
      </c>
      <c r="M46" s="90"/>
      <c r="N46" s="120"/>
      <c r="O46" s="75" t="s">
        <v>157</v>
      </c>
      <c r="P46" s="89"/>
      <c r="Q46" s="120"/>
      <c r="R46" s="75">
        <v>1.2518560654530746</v>
      </c>
      <c r="S46" s="89"/>
      <c r="T46" s="120"/>
      <c r="U46" s="75">
        <v>1.2518560654530746</v>
      </c>
      <c r="V46" s="89"/>
      <c r="W46" s="120"/>
      <c r="X46" s="75">
        <v>1.2518560654530746</v>
      </c>
      <c r="Y46" s="89"/>
      <c r="Z46" s="120"/>
      <c r="AA46" s="75" t="s">
        <v>157</v>
      </c>
      <c r="AB46" s="89"/>
      <c r="AC46" s="120"/>
      <c r="AD46" s="75" t="s">
        <v>157</v>
      </c>
      <c r="AE46" s="122"/>
      <c r="AF46" s="1"/>
    </row>
    <row r="47" spans="1:32" customFormat="1" ht="10.25" customHeight="1" x14ac:dyDescent="0.15">
      <c r="A47" s="1"/>
      <c r="B47" s="5"/>
      <c r="C47" s="123"/>
      <c r="D47" s="124"/>
      <c r="E47" s="23" t="s">
        <v>69</v>
      </c>
      <c r="F47" s="23"/>
      <c r="G47" s="24"/>
      <c r="H47" s="119"/>
      <c r="I47" s="75">
        <v>0.43448236301237025</v>
      </c>
      <c r="J47" s="75"/>
      <c r="K47" s="120">
        <v>1</v>
      </c>
      <c r="L47" s="121">
        <v>0.43448236301237025</v>
      </c>
      <c r="M47" s="90"/>
      <c r="N47" s="120"/>
      <c r="O47" s="75" t="s">
        <v>157</v>
      </c>
      <c r="P47" s="89"/>
      <c r="Q47" s="120"/>
      <c r="R47" s="75">
        <v>0.50213026601393629</v>
      </c>
      <c r="S47" s="89"/>
      <c r="T47" s="120"/>
      <c r="U47" s="75">
        <v>0.50213026601393629</v>
      </c>
      <c r="V47" s="89"/>
      <c r="W47" s="120"/>
      <c r="X47" s="75">
        <v>0.50213026601393629</v>
      </c>
      <c r="Y47" s="89"/>
      <c r="Z47" s="120"/>
      <c r="AA47" s="75" t="s">
        <v>157</v>
      </c>
      <c r="AB47" s="89"/>
      <c r="AC47" s="120"/>
      <c r="AD47" s="75" t="s">
        <v>157</v>
      </c>
      <c r="AE47" s="122"/>
      <c r="AF47" s="1"/>
    </row>
    <row r="48" spans="1:32" customFormat="1" ht="10.25" customHeight="1" x14ac:dyDescent="0.15">
      <c r="A48" s="1"/>
      <c r="B48" s="5"/>
      <c r="C48" s="125"/>
      <c r="D48" s="126"/>
      <c r="E48" s="23" t="s">
        <v>70</v>
      </c>
      <c r="F48" s="23"/>
      <c r="G48" s="24"/>
      <c r="H48" s="119"/>
      <c r="I48" s="75">
        <v>5.4370977730694478E-2</v>
      </c>
      <c r="J48" s="75"/>
      <c r="K48" s="120"/>
      <c r="L48" s="121">
        <v>5.4370977730694478E-2</v>
      </c>
      <c r="M48" s="90"/>
      <c r="N48" s="120"/>
      <c r="O48" s="75" t="s">
        <v>157</v>
      </c>
      <c r="P48" s="89"/>
      <c r="Q48" s="120"/>
      <c r="R48" s="75">
        <v>6.2939763230830337E-2</v>
      </c>
      <c r="S48" s="89"/>
      <c r="T48" s="120"/>
      <c r="U48" s="75">
        <v>6.2939763230830337E-2</v>
      </c>
      <c r="V48" s="89"/>
      <c r="W48" s="120"/>
      <c r="X48" s="75">
        <v>6.2939763230830337E-2</v>
      </c>
      <c r="Y48" s="89"/>
      <c r="Z48" s="120"/>
      <c r="AA48" s="75" t="s">
        <v>157</v>
      </c>
      <c r="AB48" s="89"/>
      <c r="AC48" s="120"/>
      <c r="AD48" s="75" t="s">
        <v>157</v>
      </c>
      <c r="AE48" s="122"/>
      <c r="AF48" s="1"/>
    </row>
    <row r="49" spans="1:32" customFormat="1" ht="10.25" customHeight="1" x14ac:dyDescent="0.15">
      <c r="A49" s="1"/>
      <c r="B49" s="5"/>
      <c r="C49" s="127" t="s">
        <v>71</v>
      </c>
      <c r="D49" s="117"/>
      <c r="E49" s="23" t="s">
        <v>72</v>
      </c>
      <c r="F49" s="23" t="s">
        <v>73</v>
      </c>
      <c r="G49" s="24"/>
      <c r="H49" s="119"/>
      <c r="I49" s="75">
        <v>0.10874195546138896</v>
      </c>
      <c r="J49" s="75"/>
      <c r="K49" s="120"/>
      <c r="L49" s="121">
        <v>0.10874195546138896</v>
      </c>
      <c r="M49" s="90"/>
      <c r="N49" s="120"/>
      <c r="O49" s="75" t="s">
        <v>157</v>
      </c>
      <c r="P49" s="89"/>
      <c r="Q49" s="120"/>
      <c r="R49" s="75">
        <v>0.12587952646166067</v>
      </c>
      <c r="S49" s="89"/>
      <c r="T49" s="120"/>
      <c r="U49" s="75">
        <v>0.12587952646166067</v>
      </c>
      <c r="V49" s="89"/>
      <c r="W49" s="120"/>
      <c r="X49" s="75">
        <v>0.12587952646166067</v>
      </c>
      <c r="Y49" s="89"/>
      <c r="Z49" s="120"/>
      <c r="AA49" s="75" t="s">
        <v>157</v>
      </c>
      <c r="AB49" s="89"/>
      <c r="AC49" s="120"/>
      <c r="AD49" s="75" t="s">
        <v>157</v>
      </c>
      <c r="AE49" s="122"/>
      <c r="AF49" s="1"/>
    </row>
    <row r="50" spans="1:32" customFormat="1" ht="10.25" customHeight="1" x14ac:dyDescent="0.15">
      <c r="A50" s="1"/>
      <c r="B50" s="5"/>
      <c r="C50" s="123"/>
      <c r="D50" s="124"/>
      <c r="E50" s="23" t="s">
        <v>74</v>
      </c>
      <c r="F50" s="23" t="s">
        <v>75</v>
      </c>
      <c r="G50" s="24"/>
      <c r="H50" s="119"/>
      <c r="I50" s="75">
        <v>0.16317361554623164</v>
      </c>
      <c r="J50" s="75"/>
      <c r="K50" s="120"/>
      <c r="L50" s="121">
        <v>0.16317361554623164</v>
      </c>
      <c r="M50" s="90"/>
      <c r="N50" s="120"/>
      <c r="O50" s="75" t="s">
        <v>157</v>
      </c>
      <c r="P50" s="89"/>
      <c r="Q50" s="120"/>
      <c r="R50" s="75">
        <v>0.18899276967157932</v>
      </c>
      <c r="S50" s="89"/>
      <c r="T50" s="120"/>
      <c r="U50" s="75">
        <v>0.18899276967157932</v>
      </c>
      <c r="V50" s="89"/>
      <c r="W50" s="120"/>
      <c r="X50" s="75">
        <v>0.18899276967157932</v>
      </c>
      <c r="Y50" s="89"/>
      <c r="Z50" s="120"/>
      <c r="AA50" s="75" t="s">
        <v>157</v>
      </c>
      <c r="AB50" s="89"/>
      <c r="AC50" s="120"/>
      <c r="AD50" s="75" t="s">
        <v>157</v>
      </c>
      <c r="AE50" s="122"/>
      <c r="AF50" s="1"/>
    </row>
    <row r="51" spans="1:32" customFormat="1" ht="10.25" customHeight="1" x14ac:dyDescent="0.15">
      <c r="A51" s="1"/>
      <c r="B51" s="5"/>
      <c r="C51" s="125"/>
      <c r="D51" s="126"/>
      <c r="E51" s="23" t="s">
        <v>74</v>
      </c>
      <c r="F51" s="23" t="s">
        <v>76</v>
      </c>
      <c r="G51" s="24"/>
      <c r="H51" s="119"/>
      <c r="I51" s="75">
        <v>0.27215830042421341</v>
      </c>
      <c r="J51" s="75"/>
      <c r="K51" s="120"/>
      <c r="L51" s="121">
        <v>0.27215830042421341</v>
      </c>
      <c r="M51" s="90"/>
      <c r="N51" s="120"/>
      <c r="O51" s="75" t="s">
        <v>157</v>
      </c>
      <c r="P51" s="89"/>
      <c r="Q51" s="120"/>
      <c r="R51" s="75">
        <v>0.31556621604959323</v>
      </c>
      <c r="S51" s="89"/>
      <c r="T51" s="120"/>
      <c r="U51" s="75">
        <v>0.31556621604959323</v>
      </c>
      <c r="V51" s="89"/>
      <c r="W51" s="120"/>
      <c r="X51" s="75">
        <v>0.31556621604959323</v>
      </c>
      <c r="Y51" s="89"/>
      <c r="Z51" s="120"/>
      <c r="AA51" s="75" t="s">
        <v>157</v>
      </c>
      <c r="AB51" s="89"/>
      <c r="AC51" s="120"/>
      <c r="AD51" s="75" t="s">
        <v>157</v>
      </c>
      <c r="AE51" s="122"/>
      <c r="AF51" s="1"/>
    </row>
    <row r="52" spans="1:32" customFormat="1" ht="10.25" customHeight="1" x14ac:dyDescent="0.15">
      <c r="A52" s="1"/>
      <c r="B52" s="5"/>
      <c r="C52" s="116" t="s">
        <v>77</v>
      </c>
      <c r="D52" s="117"/>
      <c r="E52" s="23" t="s">
        <v>78</v>
      </c>
      <c r="F52" s="23"/>
      <c r="G52" s="23" t="s">
        <v>79</v>
      </c>
      <c r="H52" s="119"/>
      <c r="I52" s="75">
        <v>4.3369349240844359</v>
      </c>
      <c r="J52" s="75"/>
      <c r="K52" s="120"/>
      <c r="L52" s="121">
        <v>4.3369349240844359</v>
      </c>
      <c r="M52" s="90"/>
      <c r="N52" s="120"/>
      <c r="O52" s="75" t="s">
        <v>157</v>
      </c>
      <c r="P52" s="89"/>
      <c r="Q52" s="120"/>
      <c r="R52" s="75">
        <v>4.9987502628578833</v>
      </c>
      <c r="S52" s="89"/>
      <c r="T52" s="120"/>
      <c r="U52" s="75">
        <v>4.9987502628578833</v>
      </c>
      <c r="V52" s="89"/>
      <c r="W52" s="120"/>
      <c r="X52" s="75">
        <v>4.9987502628578833</v>
      </c>
      <c r="Y52" s="89"/>
      <c r="Z52" s="120"/>
      <c r="AA52" s="75" t="s">
        <v>157</v>
      </c>
      <c r="AB52" s="89"/>
      <c r="AC52" s="120"/>
      <c r="AD52" s="75" t="s">
        <v>157</v>
      </c>
      <c r="AE52" s="122"/>
      <c r="AF52" s="1"/>
    </row>
    <row r="53" spans="1:32" customFormat="1" ht="10.25" customHeight="1" x14ac:dyDescent="0.15">
      <c r="A53" s="1"/>
      <c r="B53" s="5"/>
      <c r="C53" s="123"/>
      <c r="D53" s="124"/>
      <c r="E53" s="23" t="s">
        <v>80</v>
      </c>
      <c r="F53" s="23"/>
      <c r="G53" s="23" t="s">
        <v>81</v>
      </c>
      <c r="H53" s="119"/>
      <c r="I53" s="75">
        <v>2.1687708738129592</v>
      </c>
      <c r="J53" s="75"/>
      <c r="K53" s="120"/>
      <c r="L53" s="121">
        <v>2.1687708738129592</v>
      </c>
      <c r="M53" s="90"/>
      <c r="N53" s="120"/>
      <c r="O53" s="75" t="s">
        <v>157</v>
      </c>
      <c r="P53" s="89"/>
      <c r="Q53" s="120"/>
      <c r="R53" s="75">
        <v>2.5002425313243828</v>
      </c>
      <c r="S53" s="89"/>
      <c r="T53" s="120"/>
      <c r="U53" s="75">
        <v>2.5002425313243828</v>
      </c>
      <c r="V53" s="89"/>
      <c r="W53" s="120"/>
      <c r="X53" s="75">
        <v>2.5002425313243828</v>
      </c>
      <c r="Y53" s="89"/>
      <c r="Z53" s="120"/>
      <c r="AA53" s="75" t="s">
        <v>157</v>
      </c>
      <c r="AB53" s="89"/>
      <c r="AC53" s="120"/>
      <c r="AD53" s="75" t="s">
        <v>157</v>
      </c>
      <c r="AE53" s="122"/>
      <c r="AF53" s="1"/>
    </row>
    <row r="54" spans="1:32" customFormat="1" ht="10.25" customHeight="1" x14ac:dyDescent="0.15">
      <c r="A54" s="1"/>
      <c r="B54" s="5"/>
      <c r="C54" s="123"/>
      <c r="D54" s="124"/>
      <c r="E54" s="23" t="s">
        <v>82</v>
      </c>
      <c r="F54" s="23"/>
      <c r="G54" s="23"/>
      <c r="H54" s="119"/>
      <c r="I54" s="75">
        <v>0.27191557100762059</v>
      </c>
      <c r="J54" s="75"/>
      <c r="K54" s="120"/>
      <c r="L54" s="121">
        <v>0.27191557100762059</v>
      </c>
      <c r="M54" s="90"/>
      <c r="N54" s="120"/>
      <c r="O54" s="75" t="s">
        <v>157</v>
      </c>
      <c r="P54" s="89"/>
      <c r="Q54" s="120"/>
      <c r="R54" s="75">
        <v>0.31487229613323997</v>
      </c>
      <c r="S54" s="89"/>
      <c r="T54" s="120"/>
      <c r="U54" s="75">
        <v>0.31487229613323997</v>
      </c>
      <c r="V54" s="89"/>
      <c r="W54" s="120"/>
      <c r="X54" s="75">
        <v>0.31487229613323997</v>
      </c>
      <c r="Y54" s="89"/>
      <c r="Z54" s="120"/>
      <c r="AA54" s="75" t="s">
        <v>157</v>
      </c>
      <c r="AB54" s="89"/>
      <c r="AC54" s="120"/>
      <c r="AD54" s="75" t="s">
        <v>157</v>
      </c>
      <c r="AE54" s="122"/>
      <c r="AF54" s="1"/>
    </row>
    <row r="55" spans="1:32" customFormat="1" ht="10.25" customHeight="1" x14ac:dyDescent="0.15">
      <c r="A55" s="1"/>
      <c r="B55" s="5"/>
      <c r="C55" s="123"/>
      <c r="D55" s="124"/>
      <c r="E55" s="23" t="s">
        <v>83</v>
      </c>
      <c r="F55" s="23"/>
      <c r="G55" s="23" t="s">
        <v>84</v>
      </c>
      <c r="H55" s="119"/>
      <c r="I55" s="75">
        <v>1.6274883906719424</v>
      </c>
      <c r="J55" s="75"/>
      <c r="K55" s="120"/>
      <c r="L55" s="121">
        <v>1.6274883906719424</v>
      </c>
      <c r="M55" s="90"/>
      <c r="N55" s="120"/>
      <c r="O55" s="75" t="s">
        <v>157</v>
      </c>
      <c r="P55" s="89"/>
      <c r="Q55" s="120"/>
      <c r="R55" s="75">
        <v>1.8777840981796117</v>
      </c>
      <c r="S55" s="89"/>
      <c r="T55" s="120"/>
      <c r="U55" s="75">
        <v>1.8777840981796117</v>
      </c>
      <c r="V55" s="89"/>
      <c r="W55" s="120"/>
      <c r="X55" s="75">
        <v>1.8777840981796117</v>
      </c>
      <c r="Y55" s="89"/>
      <c r="Z55" s="120"/>
      <c r="AA55" s="75" t="s">
        <v>157</v>
      </c>
      <c r="AB55" s="89"/>
      <c r="AC55" s="120"/>
      <c r="AD55" s="75" t="s">
        <v>157</v>
      </c>
      <c r="AE55" s="122"/>
      <c r="AF55" s="1"/>
    </row>
    <row r="56" spans="1:32" customFormat="1" ht="10.25" customHeight="1" x14ac:dyDescent="0.15">
      <c r="A56" s="1"/>
      <c r="B56" s="5"/>
      <c r="C56" s="123"/>
      <c r="D56" s="124"/>
      <c r="E56" s="23" t="s">
        <v>83</v>
      </c>
      <c r="F56" s="118"/>
      <c r="G56" s="23" t="s">
        <v>85</v>
      </c>
      <c r="H56" s="119"/>
      <c r="I56" s="75">
        <v>10.840213427815904</v>
      </c>
      <c r="J56" s="75"/>
      <c r="K56" s="120"/>
      <c r="L56" s="121">
        <v>10.840213427815904</v>
      </c>
      <c r="M56" s="90"/>
      <c r="N56" s="120"/>
      <c r="O56" s="75" t="s">
        <v>157</v>
      </c>
      <c r="P56" s="89"/>
      <c r="Q56" s="120"/>
      <c r="R56" s="75">
        <v>12.490803857876617</v>
      </c>
      <c r="S56" s="89"/>
      <c r="T56" s="120"/>
      <c r="U56" s="75">
        <v>12.490803857876617</v>
      </c>
      <c r="V56" s="89"/>
      <c r="W56" s="120"/>
      <c r="X56" s="75">
        <v>12.490803857876617</v>
      </c>
      <c r="Y56" s="89"/>
      <c r="Z56" s="120"/>
      <c r="AA56" s="75" t="s">
        <v>157</v>
      </c>
      <c r="AB56" s="89"/>
      <c r="AC56" s="120"/>
      <c r="AD56" s="75" t="s">
        <v>157</v>
      </c>
      <c r="AE56" s="122"/>
      <c r="AF56" s="1"/>
    </row>
    <row r="57" spans="1:32" customFormat="1" ht="10.25" customHeight="1" x14ac:dyDescent="0.15">
      <c r="A57" s="1"/>
      <c r="B57" s="5"/>
      <c r="C57" s="125"/>
      <c r="D57" s="126"/>
      <c r="E57" s="23" t="s">
        <v>83</v>
      </c>
      <c r="F57" s="23"/>
      <c r="G57" s="23" t="s">
        <v>86</v>
      </c>
      <c r="H57" s="119"/>
      <c r="I57" s="75">
        <v>0.5431029537654628</v>
      </c>
      <c r="J57" s="75"/>
      <c r="K57" s="120"/>
      <c r="L57" s="121">
        <v>0.5431029537654628</v>
      </c>
      <c r="M57" s="90"/>
      <c r="N57" s="120"/>
      <c r="O57" s="75" t="s">
        <v>157</v>
      </c>
      <c r="P57" s="89"/>
      <c r="Q57" s="120"/>
      <c r="R57" s="75">
        <v>0.62766283251742028</v>
      </c>
      <c r="S57" s="89"/>
      <c r="T57" s="120"/>
      <c r="U57" s="75">
        <v>0.62766283251742028</v>
      </c>
      <c r="V57" s="89"/>
      <c r="W57" s="120"/>
      <c r="X57" s="75">
        <v>0.62766283251742028</v>
      </c>
      <c r="Y57" s="89"/>
      <c r="Z57" s="120"/>
      <c r="AA57" s="75" t="s">
        <v>157</v>
      </c>
      <c r="AB57" s="89"/>
      <c r="AC57" s="120"/>
      <c r="AD57" s="75" t="s">
        <v>157</v>
      </c>
      <c r="AE57" s="122"/>
      <c r="AF57" s="1"/>
    </row>
    <row r="58" spans="1:32" customFormat="1" ht="10.25" customHeight="1" x14ac:dyDescent="0.15">
      <c r="A58" s="1"/>
      <c r="B58" s="5"/>
      <c r="C58" s="116" t="s">
        <v>87</v>
      </c>
      <c r="D58" s="117"/>
      <c r="E58" s="23" t="s">
        <v>88</v>
      </c>
      <c r="F58" s="23"/>
      <c r="G58" s="23" t="s">
        <v>89</v>
      </c>
      <c r="H58" s="119"/>
      <c r="I58" s="75">
        <v>0.50019418353327427</v>
      </c>
      <c r="J58" s="75"/>
      <c r="K58" s="120">
        <v>1</v>
      </c>
      <c r="L58" s="121">
        <v>0.50019418353327427</v>
      </c>
      <c r="M58" s="90"/>
      <c r="N58" s="120"/>
      <c r="O58" s="75" t="s">
        <v>157</v>
      </c>
      <c r="P58" s="89"/>
      <c r="Q58" s="120"/>
      <c r="R58" s="75">
        <v>0.50055513593308254</v>
      </c>
      <c r="S58" s="89"/>
      <c r="T58" s="120"/>
      <c r="U58" s="75">
        <v>0.50055513593308254</v>
      </c>
      <c r="V58" s="89"/>
      <c r="W58" s="120"/>
      <c r="X58" s="75">
        <v>0.50055513593308254</v>
      </c>
      <c r="Y58" s="89"/>
      <c r="Z58" s="120"/>
      <c r="AA58" s="75" t="s">
        <v>157</v>
      </c>
      <c r="AB58" s="89"/>
      <c r="AC58" s="120"/>
      <c r="AD58" s="75" t="s">
        <v>157</v>
      </c>
      <c r="AE58" s="122"/>
      <c r="AF58" s="1"/>
    </row>
    <row r="59" spans="1:32" customFormat="1" ht="10.25" customHeight="1" x14ac:dyDescent="0.15">
      <c r="A59" s="1"/>
      <c r="B59" s="5"/>
      <c r="C59" s="123"/>
      <c r="D59" s="124"/>
      <c r="E59" s="23" t="s">
        <v>90</v>
      </c>
      <c r="F59" s="23"/>
      <c r="G59" s="23" t="s">
        <v>91</v>
      </c>
      <c r="H59" s="119"/>
      <c r="I59" s="75">
        <v>1.0001941835332742</v>
      </c>
      <c r="J59" s="75"/>
      <c r="K59" s="120"/>
      <c r="L59" s="121">
        <v>1.0001941835332742</v>
      </c>
      <c r="M59" s="90"/>
      <c r="N59" s="120"/>
      <c r="O59" s="75" t="s">
        <v>157</v>
      </c>
      <c r="P59" s="89"/>
      <c r="Q59" s="120"/>
      <c r="R59" s="75">
        <v>1.0005551359330827</v>
      </c>
      <c r="S59" s="89"/>
      <c r="T59" s="120"/>
      <c r="U59" s="75">
        <v>1.0005551359330827</v>
      </c>
      <c r="V59" s="89"/>
      <c r="W59" s="120"/>
      <c r="X59" s="75">
        <v>1.0005551359330827</v>
      </c>
      <c r="Y59" s="89"/>
      <c r="Z59" s="120"/>
      <c r="AA59" s="75" t="s">
        <v>157</v>
      </c>
      <c r="AB59" s="89"/>
      <c r="AC59" s="120"/>
      <c r="AD59" s="75" t="s">
        <v>157</v>
      </c>
      <c r="AE59" s="122"/>
      <c r="AF59" s="1"/>
    </row>
    <row r="60" spans="1:32" customFormat="1" ht="10.25" customHeight="1" x14ac:dyDescent="0.15">
      <c r="A60" s="1"/>
      <c r="B60" s="5"/>
      <c r="C60" s="123"/>
      <c r="D60" s="124"/>
      <c r="E60" s="23" t="s">
        <v>92</v>
      </c>
      <c r="F60" s="23"/>
      <c r="G60" s="24"/>
      <c r="H60" s="119"/>
      <c r="I60" s="75">
        <v>1</v>
      </c>
      <c r="J60" s="75"/>
      <c r="K60" s="120"/>
      <c r="L60" s="121">
        <v>1</v>
      </c>
      <c r="M60" s="90"/>
      <c r="N60" s="120"/>
      <c r="O60" s="75" t="s">
        <v>157</v>
      </c>
      <c r="P60" s="89"/>
      <c r="Q60" s="120"/>
      <c r="R60" s="75">
        <v>1</v>
      </c>
      <c r="S60" s="89"/>
      <c r="T60" s="120"/>
      <c r="U60" s="75">
        <v>1</v>
      </c>
      <c r="V60" s="89"/>
      <c r="W60" s="120"/>
      <c r="X60" s="75">
        <v>1</v>
      </c>
      <c r="Y60" s="89"/>
      <c r="Z60" s="120"/>
      <c r="AA60" s="75" t="s">
        <v>157</v>
      </c>
      <c r="AB60" s="89"/>
      <c r="AC60" s="120"/>
      <c r="AD60" s="75" t="s">
        <v>157</v>
      </c>
      <c r="AE60" s="122"/>
      <c r="AF60" s="1"/>
    </row>
    <row r="61" spans="1:32" customFormat="1" ht="10.25" customHeight="1" x14ac:dyDescent="0.15">
      <c r="A61" s="1"/>
      <c r="B61" s="5"/>
      <c r="C61" s="123"/>
      <c r="D61" s="124"/>
      <c r="E61" s="23" t="s">
        <v>93</v>
      </c>
      <c r="F61" s="23"/>
      <c r="G61" s="24"/>
      <c r="H61" s="128" t="s">
        <v>157</v>
      </c>
      <c r="I61" s="75" t="s">
        <v>157</v>
      </c>
      <c r="J61" s="75"/>
      <c r="K61" s="129" t="s">
        <v>157</v>
      </c>
      <c r="L61" s="121" t="s">
        <v>157</v>
      </c>
      <c r="M61" s="90"/>
      <c r="N61" s="129" t="s">
        <v>157</v>
      </c>
      <c r="O61" s="75" t="s">
        <v>157</v>
      </c>
      <c r="P61" s="89"/>
      <c r="Q61" s="129" t="s">
        <v>157</v>
      </c>
      <c r="R61" s="75" t="s">
        <v>157</v>
      </c>
      <c r="S61" s="89"/>
      <c r="T61" s="129" t="s">
        <v>157</v>
      </c>
      <c r="U61" s="75" t="s">
        <v>157</v>
      </c>
      <c r="V61" s="89"/>
      <c r="W61" s="129" t="s">
        <v>157</v>
      </c>
      <c r="X61" s="75" t="s">
        <v>157</v>
      </c>
      <c r="Y61" s="89"/>
      <c r="Z61" s="129" t="s">
        <v>157</v>
      </c>
      <c r="AA61" s="75" t="s">
        <v>157</v>
      </c>
      <c r="AB61" s="89"/>
      <c r="AC61" s="129" t="s">
        <v>157</v>
      </c>
      <c r="AD61" s="75" t="s">
        <v>157</v>
      </c>
      <c r="AE61" s="122"/>
      <c r="AF61" s="1"/>
    </row>
    <row r="62" spans="1:32" customFormat="1" ht="10.25" customHeight="1" x14ac:dyDescent="0.15">
      <c r="A62" s="1"/>
      <c r="B62" s="5"/>
      <c r="C62" s="125"/>
      <c r="D62" s="126"/>
      <c r="E62" s="23" t="s">
        <v>94</v>
      </c>
      <c r="F62" s="23"/>
      <c r="G62" s="24"/>
      <c r="H62" s="128" t="s">
        <v>157</v>
      </c>
      <c r="I62" s="75" t="s">
        <v>157</v>
      </c>
      <c r="J62" s="75"/>
      <c r="K62" s="129" t="s">
        <v>157</v>
      </c>
      <c r="L62" s="121" t="s">
        <v>157</v>
      </c>
      <c r="M62" s="90"/>
      <c r="N62" s="129" t="s">
        <v>157</v>
      </c>
      <c r="O62" s="75" t="s">
        <v>157</v>
      </c>
      <c r="P62" s="89"/>
      <c r="Q62" s="129" t="s">
        <v>157</v>
      </c>
      <c r="R62" s="75" t="s">
        <v>157</v>
      </c>
      <c r="S62" s="89"/>
      <c r="T62" s="129" t="s">
        <v>157</v>
      </c>
      <c r="U62" s="75" t="s">
        <v>157</v>
      </c>
      <c r="V62" s="89"/>
      <c r="W62" s="129" t="s">
        <v>157</v>
      </c>
      <c r="X62" s="75" t="s">
        <v>157</v>
      </c>
      <c r="Y62" s="89"/>
      <c r="Z62" s="129" t="s">
        <v>157</v>
      </c>
      <c r="AA62" s="75" t="s">
        <v>157</v>
      </c>
      <c r="AB62" s="89"/>
      <c r="AC62" s="129" t="s">
        <v>157</v>
      </c>
      <c r="AD62" s="75" t="s">
        <v>157</v>
      </c>
      <c r="AE62" s="122"/>
      <c r="AF62" s="1"/>
    </row>
    <row r="63" spans="1:32" customFormat="1" ht="10.25" customHeight="1" x14ac:dyDescent="0.15">
      <c r="A63" s="1"/>
      <c r="B63" s="5"/>
      <c r="C63" s="57" t="s">
        <v>95</v>
      </c>
      <c r="D63" s="23"/>
      <c r="E63" s="23"/>
      <c r="F63" s="23"/>
      <c r="G63" s="24"/>
      <c r="H63" s="130">
        <v>0</v>
      </c>
      <c r="I63" s="131"/>
      <c r="J63" s="132"/>
      <c r="K63" s="130">
        <v>2.8942163095999813</v>
      </c>
      <c r="L63" s="131"/>
      <c r="M63" s="132"/>
      <c r="N63" s="133" t="s">
        <v>157</v>
      </c>
      <c r="O63" s="133"/>
      <c r="P63" s="133"/>
      <c r="Q63" s="133">
        <v>0</v>
      </c>
      <c r="R63" s="133"/>
      <c r="S63" s="133"/>
      <c r="T63" s="133">
        <v>0</v>
      </c>
      <c r="U63" s="133"/>
      <c r="V63" s="133"/>
      <c r="W63" s="133">
        <v>0</v>
      </c>
      <c r="X63" s="133"/>
      <c r="Y63" s="133"/>
      <c r="Z63" s="133" t="s">
        <v>157</v>
      </c>
      <c r="AA63" s="133"/>
      <c r="AB63" s="133"/>
      <c r="AC63" s="134" t="s">
        <v>157</v>
      </c>
      <c r="AD63" s="135"/>
      <c r="AE63" s="136"/>
      <c r="AF63" s="1"/>
    </row>
    <row r="64" spans="1:32" customFormat="1" ht="10.25" customHeight="1" x14ac:dyDescent="0.15">
      <c r="A64" s="1"/>
      <c r="B64" s="5"/>
      <c r="C64" s="57" t="s">
        <v>96</v>
      </c>
      <c r="D64" s="23"/>
      <c r="E64" s="23"/>
      <c r="F64" s="23"/>
      <c r="G64" s="24"/>
      <c r="H64" s="130">
        <v>1.1815753383551981</v>
      </c>
      <c r="I64" s="131"/>
      <c r="J64" s="132"/>
      <c r="K64" s="130">
        <v>0.23220318549356353</v>
      </c>
      <c r="L64" s="131"/>
      <c r="M64" s="132"/>
      <c r="N64" s="133" t="s">
        <v>157</v>
      </c>
      <c r="O64" s="133"/>
      <c r="P64" s="133"/>
      <c r="Q64" s="133">
        <v>175.75818125172481</v>
      </c>
      <c r="R64" s="133"/>
      <c r="S64" s="133"/>
      <c r="T64" s="133">
        <v>175.75818125172481</v>
      </c>
      <c r="U64" s="133"/>
      <c r="V64" s="133"/>
      <c r="W64" s="133">
        <v>175.75818125172481</v>
      </c>
      <c r="X64" s="133"/>
      <c r="Y64" s="133"/>
      <c r="Z64" s="133" t="s">
        <v>157</v>
      </c>
      <c r="AA64" s="133"/>
      <c r="AB64" s="133"/>
      <c r="AC64" s="134" t="s">
        <v>157</v>
      </c>
      <c r="AD64" s="135"/>
      <c r="AE64" s="136"/>
      <c r="AF64" s="1"/>
    </row>
    <row r="65" spans="1:32" customFormat="1" ht="10.25" customHeight="1" x14ac:dyDescent="0.15">
      <c r="A65" s="1"/>
      <c r="B65" s="5"/>
      <c r="C65" s="57" t="s">
        <v>97</v>
      </c>
      <c r="D65" s="23"/>
      <c r="E65" s="23"/>
      <c r="F65" s="23"/>
      <c r="G65" s="24"/>
      <c r="H65" s="137"/>
      <c r="I65" s="138"/>
      <c r="J65" s="139"/>
      <c r="K65" s="137"/>
      <c r="L65" s="138"/>
      <c r="M65" s="139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1"/>
      <c r="AD65" s="142"/>
      <c r="AE65" s="143"/>
      <c r="AF65" s="1"/>
    </row>
    <row r="66" spans="1:32" customFormat="1" ht="10.25" customHeight="1" x14ac:dyDescent="0.15">
      <c r="A66" s="1"/>
      <c r="B66" s="5"/>
      <c r="C66" s="144" t="s">
        <v>98</v>
      </c>
      <c r="D66" s="145"/>
      <c r="E66" s="145"/>
      <c r="F66" s="145"/>
      <c r="G66" s="146"/>
      <c r="H66" s="147"/>
      <c r="I66" s="148"/>
      <c r="J66" s="149"/>
      <c r="K66" s="147"/>
      <c r="L66" s="148"/>
      <c r="M66" s="149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1"/>
      <c r="AD66" s="152"/>
      <c r="AE66" s="153"/>
      <c r="AF66" s="1"/>
    </row>
    <row r="67" spans="1:32" customFormat="1" ht="10.25" customHeight="1" x14ac:dyDescent="0.15">
      <c r="A67" s="1"/>
      <c r="B67" s="5"/>
      <c r="C67" s="144" t="s">
        <v>99</v>
      </c>
      <c r="D67" s="145"/>
      <c r="E67" s="145"/>
      <c r="F67" s="145"/>
      <c r="G67" s="146" t="s">
        <v>31</v>
      </c>
      <c r="H67" s="154"/>
      <c r="I67" s="155"/>
      <c r="J67" s="156"/>
      <c r="K67" s="154"/>
      <c r="L67" s="155"/>
      <c r="M67" s="156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8"/>
      <c r="AD67" s="159"/>
      <c r="AE67" s="160"/>
      <c r="AF67" s="1"/>
    </row>
    <row r="68" spans="1:32" customFormat="1" ht="10.25" customHeight="1" x14ac:dyDescent="0.15">
      <c r="A68" s="1"/>
      <c r="B68" s="5"/>
      <c r="C68" s="144" t="s">
        <v>98</v>
      </c>
      <c r="D68" s="145"/>
      <c r="E68" s="145"/>
      <c r="F68" s="145"/>
      <c r="G68" s="146"/>
      <c r="H68" s="161">
        <v>1.1815753383551981</v>
      </c>
      <c r="I68" s="162"/>
      <c r="J68" s="163"/>
      <c r="K68" s="161">
        <v>3.1264194950935447</v>
      </c>
      <c r="L68" s="162"/>
      <c r="M68" s="163"/>
      <c r="N68" s="164" t="s">
        <v>157</v>
      </c>
      <c r="O68" s="164"/>
      <c r="P68" s="164"/>
      <c r="Q68" s="164">
        <v>175.75818125172481</v>
      </c>
      <c r="R68" s="164"/>
      <c r="S68" s="164"/>
      <c r="T68" s="164">
        <v>175.75818125172481</v>
      </c>
      <c r="U68" s="164"/>
      <c r="V68" s="164"/>
      <c r="W68" s="164">
        <v>175.75818125172481</v>
      </c>
      <c r="X68" s="164"/>
      <c r="Y68" s="164"/>
      <c r="Z68" s="164" t="s">
        <v>157</v>
      </c>
      <c r="AA68" s="164"/>
      <c r="AB68" s="164"/>
      <c r="AC68" s="165" t="s">
        <v>157</v>
      </c>
      <c r="AD68" s="166"/>
      <c r="AE68" s="167"/>
      <c r="AF68" s="1"/>
    </row>
    <row r="69" spans="1:32" customFormat="1" ht="10.25" customHeight="1" x14ac:dyDescent="0.15">
      <c r="A69" s="1"/>
      <c r="B69" s="5"/>
      <c r="C69" s="168" t="s">
        <v>100</v>
      </c>
      <c r="D69" s="169"/>
      <c r="E69" s="169"/>
      <c r="F69" s="169"/>
      <c r="G69" s="1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19"/>
      <c r="AD69" s="19"/>
      <c r="AE69" s="20"/>
      <c r="AF69" s="1"/>
    </row>
    <row r="70" spans="1:32" customFormat="1" ht="10.25" customHeight="1" x14ac:dyDescent="0.15">
      <c r="A70" s="1"/>
      <c r="B70" s="5"/>
      <c r="C70" s="57" t="s">
        <v>101</v>
      </c>
      <c r="D70" s="23"/>
      <c r="E70" s="23"/>
      <c r="F70" s="23"/>
      <c r="G70" s="24"/>
      <c r="H70" s="74" t="s">
        <v>157</v>
      </c>
      <c r="I70" s="75"/>
      <c r="J70" s="76"/>
      <c r="K70" s="74" t="s">
        <v>157</v>
      </c>
      <c r="L70" s="75"/>
      <c r="M70" s="76"/>
      <c r="N70" s="77" t="s">
        <v>157</v>
      </c>
      <c r="O70" s="77"/>
      <c r="P70" s="77"/>
      <c r="Q70" s="77" t="s">
        <v>157</v>
      </c>
      <c r="R70" s="77"/>
      <c r="S70" s="77"/>
      <c r="T70" s="77" t="s">
        <v>157</v>
      </c>
      <c r="U70" s="77"/>
      <c r="V70" s="77"/>
      <c r="W70" s="77" t="s">
        <v>157</v>
      </c>
      <c r="X70" s="77"/>
      <c r="Y70" s="77"/>
      <c r="Z70" s="77">
        <v>328.41569467200947</v>
      </c>
      <c r="AA70" s="77"/>
      <c r="AB70" s="77"/>
      <c r="AC70" s="78" t="s">
        <v>157</v>
      </c>
      <c r="AD70" s="79"/>
      <c r="AE70" s="80"/>
      <c r="AF70" s="1"/>
    </row>
    <row r="71" spans="1:32" customFormat="1" ht="10.25" customHeight="1" x14ac:dyDescent="0.15">
      <c r="A71" s="1"/>
      <c r="B71" s="5"/>
      <c r="C71" s="57" t="s">
        <v>102</v>
      </c>
      <c r="D71" s="23"/>
      <c r="E71" s="23"/>
      <c r="F71" s="23"/>
      <c r="G71" s="24"/>
      <c r="H71" s="74" t="s">
        <v>157</v>
      </c>
      <c r="I71" s="75"/>
      <c r="J71" s="76"/>
      <c r="K71" s="74" t="s">
        <v>157</v>
      </c>
      <c r="L71" s="75"/>
      <c r="M71" s="76"/>
      <c r="N71" s="77" t="s">
        <v>157</v>
      </c>
      <c r="O71" s="77"/>
      <c r="P71" s="77"/>
      <c r="Q71" s="77" t="s">
        <v>157</v>
      </c>
      <c r="R71" s="77"/>
      <c r="S71" s="77"/>
      <c r="T71" s="77" t="s">
        <v>157</v>
      </c>
      <c r="U71" s="77"/>
      <c r="V71" s="77"/>
      <c r="W71" s="77" t="s">
        <v>157</v>
      </c>
      <c r="X71" s="77"/>
      <c r="Y71" s="77"/>
      <c r="Z71" s="77">
        <v>985.24708401602834</v>
      </c>
      <c r="AA71" s="77"/>
      <c r="AB71" s="77"/>
      <c r="AC71" s="78" t="s">
        <v>157</v>
      </c>
      <c r="AD71" s="79"/>
      <c r="AE71" s="80"/>
      <c r="AF71" s="1"/>
    </row>
    <row r="72" spans="1:32" customFormat="1" ht="10.25" customHeight="1" x14ac:dyDescent="0.15">
      <c r="A72" s="1"/>
      <c r="B72" s="5"/>
      <c r="C72" s="57" t="s">
        <v>103</v>
      </c>
      <c r="D72" s="23"/>
      <c r="E72" s="23"/>
      <c r="F72" s="23"/>
      <c r="G72" s="24"/>
      <c r="H72" s="170"/>
      <c r="I72" s="171"/>
      <c r="J72" s="172"/>
      <c r="K72" s="170"/>
      <c r="L72" s="171"/>
      <c r="M72" s="172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>
        <v>3</v>
      </c>
      <c r="AA72" s="173"/>
      <c r="AB72" s="173"/>
      <c r="AC72" s="174"/>
      <c r="AD72" s="175"/>
      <c r="AE72" s="176"/>
      <c r="AF72" s="1"/>
    </row>
    <row r="73" spans="1:32" customFormat="1" ht="10.25" customHeight="1" x14ac:dyDescent="0.15">
      <c r="A73" s="1"/>
      <c r="B73" s="5"/>
      <c r="C73" s="57" t="s">
        <v>104</v>
      </c>
      <c r="D73" s="23"/>
      <c r="E73" s="23"/>
      <c r="F73" s="23"/>
      <c r="G73" s="24"/>
      <c r="H73" s="170"/>
      <c r="I73" s="171"/>
      <c r="J73" s="172"/>
      <c r="K73" s="170"/>
      <c r="L73" s="171"/>
      <c r="M73" s="172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4"/>
      <c r="AD73" s="175"/>
      <c r="AE73" s="176"/>
      <c r="AF73" s="1"/>
    </row>
    <row r="74" spans="1:32" customFormat="1" ht="10.25" customHeight="1" x14ac:dyDescent="0.15">
      <c r="A74" s="1"/>
      <c r="B74" s="5"/>
      <c r="C74" s="95" t="s">
        <v>105</v>
      </c>
      <c r="D74" s="96"/>
      <c r="E74" s="96"/>
      <c r="F74" s="96"/>
      <c r="G74" s="97"/>
      <c r="H74" s="177"/>
      <c r="I74" s="178"/>
      <c r="J74" s="179"/>
      <c r="K74" s="177"/>
      <c r="L74" s="178"/>
      <c r="M74" s="179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1"/>
      <c r="AD74" s="182"/>
      <c r="AE74" s="183"/>
      <c r="AF74" s="1"/>
    </row>
    <row r="75" spans="1:32" customFormat="1" ht="10.25" customHeight="1" x14ac:dyDescent="0.15">
      <c r="A75" s="1"/>
      <c r="B75" s="5"/>
      <c r="C75" s="184" t="s">
        <v>106</v>
      </c>
      <c r="D75" s="185"/>
      <c r="E75" s="185"/>
      <c r="F75" s="185"/>
      <c r="G75" s="186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187"/>
      <c r="AD75" s="187"/>
      <c r="AE75" s="188"/>
      <c r="AF75" s="1"/>
    </row>
    <row r="76" spans="1:32" customFormat="1" ht="10.25" customHeight="1" x14ac:dyDescent="0.15">
      <c r="A76" s="1"/>
      <c r="B76" s="5"/>
      <c r="C76" s="57" t="s">
        <v>107</v>
      </c>
      <c r="D76" s="23"/>
      <c r="E76" s="23"/>
      <c r="F76" s="23"/>
      <c r="G76" s="24"/>
      <c r="H76" s="189">
        <v>823962.75988056103</v>
      </c>
      <c r="I76" s="189"/>
      <c r="J76" s="189"/>
      <c r="K76" s="189">
        <v>823962.75988056103</v>
      </c>
      <c r="L76" s="189"/>
      <c r="M76" s="189"/>
      <c r="N76" s="189" t="s">
        <v>157</v>
      </c>
      <c r="O76" s="189"/>
      <c r="P76" s="189"/>
      <c r="Q76" s="189">
        <v>288217.69672077714</v>
      </c>
      <c r="R76" s="189"/>
      <c r="S76" s="189"/>
      <c r="T76" s="189">
        <v>288217.69672077714</v>
      </c>
      <c r="U76" s="189"/>
      <c r="V76" s="189"/>
      <c r="W76" s="189">
        <v>288217.69672077714</v>
      </c>
      <c r="X76" s="189"/>
      <c r="Y76" s="189"/>
      <c r="Z76" s="189">
        <v>288217.69672077714</v>
      </c>
      <c r="AA76" s="189"/>
      <c r="AB76" s="189"/>
      <c r="AC76" s="190" t="s">
        <v>157</v>
      </c>
      <c r="AD76" s="191"/>
      <c r="AE76" s="192"/>
      <c r="AF76" s="1"/>
    </row>
    <row r="77" spans="1:32" customFormat="1" ht="10.25" customHeight="1" x14ac:dyDescent="0.15">
      <c r="A77" s="1"/>
      <c r="B77" s="5"/>
      <c r="C77" s="57" t="s">
        <v>108</v>
      </c>
      <c r="D77" s="23"/>
      <c r="E77" s="23"/>
      <c r="F77" s="23"/>
      <c r="G77" s="24"/>
      <c r="H77" s="91" t="s">
        <v>161</v>
      </c>
      <c r="I77" s="91"/>
      <c r="J77" s="91"/>
      <c r="K77" s="91" t="s">
        <v>161</v>
      </c>
      <c r="L77" s="91"/>
      <c r="M77" s="91"/>
      <c r="N77" s="91" t="s">
        <v>157</v>
      </c>
      <c r="O77" s="91"/>
      <c r="P77" s="91"/>
      <c r="Q77" s="91" t="s">
        <v>161</v>
      </c>
      <c r="R77" s="91"/>
      <c r="S77" s="91"/>
      <c r="T77" s="91" t="s">
        <v>161</v>
      </c>
      <c r="U77" s="91"/>
      <c r="V77" s="91"/>
      <c r="W77" s="91" t="s">
        <v>161</v>
      </c>
      <c r="X77" s="91"/>
      <c r="Y77" s="91"/>
      <c r="Z77" s="91" t="s">
        <v>161</v>
      </c>
      <c r="AA77" s="91"/>
      <c r="AB77" s="91"/>
      <c r="AC77" s="92" t="s">
        <v>157</v>
      </c>
      <c r="AD77" s="93"/>
      <c r="AE77" s="94"/>
      <c r="AF77" s="1"/>
    </row>
    <row r="78" spans="1:32" customFormat="1" ht="10.25" customHeight="1" x14ac:dyDescent="0.15">
      <c r="A78" s="1"/>
      <c r="B78" s="5"/>
      <c r="C78" s="57" t="s">
        <v>109</v>
      </c>
      <c r="D78" s="23"/>
      <c r="E78" s="23"/>
      <c r="F78" s="23"/>
      <c r="G78" s="24"/>
      <c r="H78" s="193">
        <v>1.4329200443301158E-2</v>
      </c>
      <c r="I78" s="193"/>
      <c r="J78" s="193"/>
      <c r="K78" s="193">
        <v>1.4329200443301158E-2</v>
      </c>
      <c r="L78" s="193"/>
      <c r="M78" s="193"/>
      <c r="N78" s="193" t="s">
        <v>157</v>
      </c>
      <c r="O78" s="193"/>
      <c r="P78" s="193"/>
      <c r="Q78" s="193">
        <v>1.7973031614801377E-2</v>
      </c>
      <c r="R78" s="193"/>
      <c r="S78" s="193"/>
      <c r="T78" s="193">
        <v>1.7973031614801377E-2</v>
      </c>
      <c r="U78" s="193"/>
      <c r="V78" s="193"/>
      <c r="W78" s="193">
        <v>1.7973031614801377E-2</v>
      </c>
      <c r="X78" s="193"/>
      <c r="Y78" s="193"/>
      <c r="Z78" s="193">
        <v>1.7973031614801377E-2</v>
      </c>
      <c r="AA78" s="193"/>
      <c r="AB78" s="193"/>
      <c r="AC78" s="194" t="s">
        <v>157</v>
      </c>
      <c r="AD78" s="195"/>
      <c r="AE78" s="196"/>
      <c r="AF78" s="1"/>
    </row>
    <row r="79" spans="1:32" customFormat="1" ht="10.25" customHeight="1" x14ac:dyDescent="0.15">
      <c r="A79" s="1"/>
      <c r="B79" s="5"/>
      <c r="C79" s="57" t="s">
        <v>110</v>
      </c>
      <c r="D79" s="23"/>
      <c r="E79" s="23"/>
      <c r="F79" s="23"/>
      <c r="G79" s="24" t="s">
        <v>111</v>
      </c>
      <c r="H79" s="193">
        <v>0.15367027925415691</v>
      </c>
      <c r="I79" s="193"/>
      <c r="J79" s="193"/>
      <c r="K79" s="193">
        <v>0.15367027925415691</v>
      </c>
      <c r="L79" s="193"/>
      <c r="M79" s="193"/>
      <c r="N79" s="193" t="s">
        <v>157</v>
      </c>
      <c r="O79" s="193"/>
      <c r="P79" s="193"/>
      <c r="Q79" s="193">
        <v>0.23264645155674205</v>
      </c>
      <c r="R79" s="193"/>
      <c r="S79" s="193"/>
      <c r="T79" s="193">
        <v>0.19633556151206877</v>
      </c>
      <c r="U79" s="193"/>
      <c r="V79" s="193"/>
      <c r="W79" s="193">
        <v>0.23270816070206404</v>
      </c>
      <c r="X79" s="193"/>
      <c r="Y79" s="193"/>
      <c r="Z79" s="193">
        <v>0.23264645155674205</v>
      </c>
      <c r="AA79" s="193"/>
      <c r="AB79" s="193"/>
      <c r="AC79" s="194" t="s">
        <v>157</v>
      </c>
      <c r="AD79" s="195"/>
      <c r="AE79" s="196"/>
      <c r="AF79" s="1"/>
    </row>
    <row r="80" spans="1:32" customFormat="1" ht="10.25" customHeight="1" x14ac:dyDescent="0.15">
      <c r="A80" s="1"/>
      <c r="B80" s="5"/>
      <c r="C80" s="57" t="s">
        <v>112</v>
      </c>
      <c r="D80" s="23"/>
      <c r="E80" s="23"/>
      <c r="F80" s="23"/>
      <c r="G80" s="24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4"/>
      <c r="AD80" s="195"/>
      <c r="AE80" s="196"/>
      <c r="AF80" s="1"/>
    </row>
    <row r="81" spans="1:32" customFormat="1" ht="10.25" customHeight="1" x14ac:dyDescent="0.15">
      <c r="A81" s="1"/>
      <c r="B81" s="5"/>
      <c r="C81" s="57" t="s">
        <v>113</v>
      </c>
      <c r="D81" s="23"/>
      <c r="E81" s="23"/>
      <c r="F81" s="23"/>
      <c r="G81" s="24" t="s">
        <v>114</v>
      </c>
      <c r="H81" s="193" t="s">
        <v>157</v>
      </c>
      <c r="I81" s="193"/>
      <c r="J81" s="193"/>
      <c r="K81" s="193" t="s">
        <v>157</v>
      </c>
      <c r="L81" s="193"/>
      <c r="M81" s="193"/>
      <c r="N81" s="193" t="s">
        <v>157</v>
      </c>
      <c r="O81" s="193"/>
      <c r="P81" s="193"/>
      <c r="Q81" s="193">
        <v>8.3675828078386605</v>
      </c>
      <c r="R81" s="193"/>
      <c r="S81" s="193"/>
      <c r="T81" s="193">
        <v>8.3675828078386605</v>
      </c>
      <c r="U81" s="193"/>
      <c r="V81" s="193"/>
      <c r="W81" s="193">
        <v>1.5015090522146028</v>
      </c>
      <c r="X81" s="193"/>
      <c r="Y81" s="193"/>
      <c r="Z81" s="193">
        <v>8.3675828078386605</v>
      </c>
      <c r="AA81" s="193"/>
      <c r="AB81" s="193"/>
      <c r="AC81" s="194" t="s">
        <v>157</v>
      </c>
      <c r="AD81" s="195"/>
      <c r="AE81" s="196"/>
      <c r="AF81" s="1"/>
    </row>
    <row r="82" spans="1:32" customFormat="1" ht="10.25" customHeight="1" x14ac:dyDescent="0.15">
      <c r="A82" s="1"/>
      <c r="B82" s="5"/>
      <c r="C82" s="57" t="s">
        <v>115</v>
      </c>
      <c r="D82" s="23" t="s">
        <v>116</v>
      </c>
      <c r="E82" s="23"/>
      <c r="F82" s="23"/>
      <c r="G82" s="24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2"/>
      <c r="AD82" s="93"/>
      <c r="AE82" s="94"/>
      <c r="AF82" s="1"/>
    </row>
    <row r="83" spans="1:32" customFormat="1" ht="10.25" customHeight="1" x14ac:dyDescent="0.15">
      <c r="A83" s="1"/>
      <c r="B83" s="5"/>
      <c r="C83" s="31" t="s">
        <v>117</v>
      </c>
      <c r="D83" s="32"/>
      <c r="E83" s="32"/>
      <c r="F83" s="32"/>
      <c r="G83" s="197"/>
      <c r="H83" s="198" t="s">
        <v>157</v>
      </c>
      <c r="I83" s="199"/>
      <c r="J83" s="200"/>
      <c r="K83" s="198" t="s">
        <v>157</v>
      </c>
      <c r="L83" s="199"/>
      <c r="M83" s="200"/>
      <c r="N83" s="198" t="s">
        <v>157</v>
      </c>
      <c r="O83" s="199"/>
      <c r="P83" s="200"/>
      <c r="Q83" s="198" t="s">
        <v>157</v>
      </c>
      <c r="R83" s="199"/>
      <c r="S83" s="200"/>
      <c r="T83" s="198" t="s">
        <v>157</v>
      </c>
      <c r="U83" s="199"/>
      <c r="V83" s="200"/>
      <c r="W83" s="198" t="s">
        <v>157</v>
      </c>
      <c r="X83" s="199"/>
      <c r="Y83" s="200"/>
      <c r="Z83" s="198" t="s">
        <v>157</v>
      </c>
      <c r="AA83" s="199"/>
      <c r="AB83" s="200"/>
      <c r="AC83" s="198" t="s">
        <v>157</v>
      </c>
      <c r="AD83" s="199"/>
      <c r="AE83" s="201"/>
      <c r="AF83" s="1"/>
    </row>
    <row r="84" spans="1:32" customFormat="1" ht="10.25" customHeight="1" x14ac:dyDescent="0.15">
      <c r="A84" s="1"/>
      <c r="B84" s="5"/>
      <c r="C84" s="202"/>
      <c r="D84" s="203"/>
      <c r="E84" s="203"/>
      <c r="F84" s="203"/>
      <c r="G84" s="204"/>
      <c r="H84" s="205"/>
      <c r="I84" s="206"/>
      <c r="J84" s="207"/>
      <c r="K84" s="205"/>
      <c r="L84" s="206"/>
      <c r="M84" s="207"/>
      <c r="N84" s="205"/>
      <c r="O84" s="206"/>
      <c r="P84" s="207"/>
      <c r="Q84" s="205"/>
      <c r="R84" s="206"/>
      <c r="S84" s="207"/>
      <c r="T84" s="205"/>
      <c r="U84" s="206"/>
      <c r="V84" s="207"/>
      <c r="W84" s="205"/>
      <c r="X84" s="206"/>
      <c r="Y84" s="207"/>
      <c r="Z84" s="205"/>
      <c r="AA84" s="206"/>
      <c r="AB84" s="207"/>
      <c r="AC84" s="205"/>
      <c r="AD84" s="206"/>
      <c r="AE84" s="208"/>
      <c r="AF84" s="1"/>
    </row>
    <row r="85" spans="1:32" customFormat="1" ht="10.25" customHeight="1" x14ac:dyDescent="0.15">
      <c r="A85" s="1"/>
      <c r="B85" s="5"/>
      <c r="C85" s="209" t="s">
        <v>118</v>
      </c>
      <c r="D85" s="210"/>
      <c r="E85" s="210"/>
      <c r="F85" s="210"/>
      <c r="G85" s="211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17"/>
      <c r="AD85" s="17"/>
      <c r="AE85" s="212"/>
      <c r="AF85" s="1"/>
    </row>
    <row r="86" spans="1:32" customFormat="1" ht="10.25" customHeight="1" x14ac:dyDescent="0.15">
      <c r="A86" s="1"/>
      <c r="B86" s="5"/>
      <c r="C86" s="57" t="s">
        <v>119</v>
      </c>
      <c r="D86" s="23"/>
      <c r="E86" s="23"/>
      <c r="F86" s="23"/>
      <c r="G86" s="24" t="s">
        <v>111</v>
      </c>
      <c r="H86" s="133">
        <v>0.18157301220486824</v>
      </c>
      <c r="I86" s="133"/>
      <c r="J86" s="133"/>
      <c r="K86" s="133">
        <v>0.48043775687666523</v>
      </c>
      <c r="L86" s="133"/>
      <c r="M86" s="133"/>
      <c r="N86" s="133" t="s">
        <v>157</v>
      </c>
      <c r="O86" s="133"/>
      <c r="P86" s="133"/>
      <c r="Q86" s="133">
        <v>46.303603161947478</v>
      </c>
      <c r="R86" s="133"/>
      <c r="S86" s="133"/>
      <c r="T86" s="133">
        <v>37.49700707479046</v>
      </c>
      <c r="U86" s="133"/>
      <c r="V86" s="133"/>
      <c r="W86" s="133">
        <v>46.321865245995838</v>
      </c>
      <c r="X86" s="133"/>
      <c r="Y86" s="133"/>
      <c r="Z86" s="133" t="s">
        <v>157</v>
      </c>
      <c r="AA86" s="133"/>
      <c r="AB86" s="133"/>
      <c r="AC86" s="134" t="s">
        <v>157</v>
      </c>
      <c r="AD86" s="135"/>
      <c r="AE86" s="136"/>
      <c r="AF86" s="1"/>
    </row>
    <row r="87" spans="1:32" customFormat="1" ht="10.25" customHeight="1" x14ac:dyDescent="0.15">
      <c r="A87" s="1"/>
      <c r="B87" s="5"/>
      <c r="C87" s="57" t="s">
        <v>120</v>
      </c>
      <c r="D87" s="23"/>
      <c r="E87" s="23"/>
      <c r="F87" s="23"/>
      <c r="G87" s="24" t="s">
        <v>111</v>
      </c>
      <c r="H87" s="133">
        <v>0</v>
      </c>
      <c r="I87" s="133"/>
      <c r="J87" s="133"/>
      <c r="K87" s="133" t="s">
        <v>157</v>
      </c>
      <c r="L87" s="133"/>
      <c r="M87" s="133"/>
      <c r="N87" s="133" t="s">
        <v>157</v>
      </c>
      <c r="O87" s="133"/>
      <c r="P87" s="133"/>
      <c r="Q87" s="133" t="s">
        <v>157</v>
      </c>
      <c r="R87" s="133"/>
      <c r="S87" s="133"/>
      <c r="T87" s="133" t="s">
        <v>157</v>
      </c>
      <c r="U87" s="133"/>
      <c r="V87" s="133"/>
      <c r="W87" s="133" t="s">
        <v>157</v>
      </c>
      <c r="X87" s="133"/>
      <c r="Y87" s="133"/>
      <c r="Z87" s="133" t="s">
        <v>157</v>
      </c>
      <c r="AA87" s="133"/>
      <c r="AB87" s="133"/>
      <c r="AC87" s="134" t="s">
        <v>157</v>
      </c>
      <c r="AD87" s="135"/>
      <c r="AE87" s="136"/>
      <c r="AF87" s="1"/>
    </row>
    <row r="88" spans="1:32" customFormat="1" ht="10.25" customHeight="1" x14ac:dyDescent="0.15">
      <c r="A88" s="1"/>
      <c r="B88" s="5"/>
      <c r="C88" s="57" t="s">
        <v>121</v>
      </c>
      <c r="D88" s="23"/>
      <c r="E88" s="23"/>
      <c r="F88" s="23"/>
      <c r="G88" s="24" t="s">
        <v>111</v>
      </c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  <c r="AA88" s="213"/>
      <c r="AB88" s="213"/>
      <c r="AC88" s="214"/>
      <c r="AD88" s="215"/>
      <c r="AE88" s="216"/>
      <c r="AF88" s="1"/>
    </row>
    <row r="89" spans="1:32" customFormat="1" ht="10.25" customHeight="1" x14ac:dyDescent="0.15">
      <c r="A89" s="1"/>
      <c r="B89" s="5"/>
      <c r="C89" s="57" t="s">
        <v>122</v>
      </c>
      <c r="D89" s="23"/>
      <c r="E89" s="23"/>
      <c r="F89" s="23"/>
      <c r="G89" s="24" t="s">
        <v>111</v>
      </c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>
        <v>70</v>
      </c>
      <c r="AA89" s="140"/>
      <c r="AB89" s="140"/>
      <c r="AC89" s="141"/>
      <c r="AD89" s="142"/>
      <c r="AE89" s="143"/>
      <c r="AF89" s="1"/>
    </row>
    <row r="90" spans="1:32" customFormat="1" ht="10.25" customHeight="1" x14ac:dyDescent="0.15">
      <c r="A90" s="1"/>
      <c r="B90" s="5"/>
      <c r="C90" s="57" t="s">
        <v>123</v>
      </c>
      <c r="D90" s="23"/>
      <c r="E90" s="23"/>
      <c r="F90" s="23"/>
      <c r="G90" s="24" t="s">
        <v>111</v>
      </c>
      <c r="H90" s="133" t="s">
        <v>157</v>
      </c>
      <c r="I90" s="133"/>
      <c r="J90" s="133"/>
      <c r="K90" s="133" t="s">
        <v>157</v>
      </c>
      <c r="L90" s="133"/>
      <c r="M90" s="133"/>
      <c r="N90" s="133" t="s">
        <v>157</v>
      </c>
      <c r="O90" s="133"/>
      <c r="P90" s="133"/>
      <c r="Q90" s="133" t="s">
        <v>157</v>
      </c>
      <c r="R90" s="133"/>
      <c r="S90" s="133"/>
      <c r="T90" s="133" t="s">
        <v>157</v>
      </c>
      <c r="U90" s="133"/>
      <c r="V90" s="133"/>
      <c r="W90" s="133" t="s">
        <v>157</v>
      </c>
      <c r="X90" s="133"/>
      <c r="Y90" s="133"/>
      <c r="Z90" s="133" t="s">
        <v>157</v>
      </c>
      <c r="AA90" s="133"/>
      <c r="AB90" s="133"/>
      <c r="AC90" s="134" t="s">
        <v>157</v>
      </c>
      <c r="AD90" s="135"/>
      <c r="AE90" s="136"/>
      <c r="AF90" s="1"/>
    </row>
    <row r="91" spans="1:32" customFormat="1" ht="10.25" customHeight="1" x14ac:dyDescent="0.15">
      <c r="A91" s="1"/>
      <c r="B91" s="5"/>
      <c r="C91" s="57" t="s">
        <v>124</v>
      </c>
      <c r="D91" s="23"/>
      <c r="E91" s="23"/>
      <c r="F91" s="23"/>
      <c r="G91" s="24" t="s">
        <v>111</v>
      </c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8"/>
      <c r="AD91" s="219"/>
      <c r="AE91" s="220"/>
      <c r="AF91" s="1"/>
    </row>
    <row r="92" spans="1:32" customFormat="1" ht="10.25" customHeight="1" x14ac:dyDescent="0.15">
      <c r="A92" s="1"/>
      <c r="B92" s="5"/>
      <c r="C92" s="57" t="s">
        <v>125</v>
      </c>
      <c r="D92" s="23"/>
      <c r="E92" s="23"/>
      <c r="F92" s="23"/>
      <c r="G92" s="24" t="s">
        <v>111</v>
      </c>
      <c r="H92" s="221">
        <v>0.18157301220486824</v>
      </c>
      <c r="I92" s="221"/>
      <c r="J92" s="221"/>
      <c r="K92" s="221">
        <v>0.48043775687666523</v>
      </c>
      <c r="L92" s="221"/>
      <c r="M92" s="221"/>
      <c r="N92" s="221" t="s">
        <v>157</v>
      </c>
      <c r="O92" s="221"/>
      <c r="P92" s="221"/>
      <c r="Q92" s="221">
        <v>46.303603161947478</v>
      </c>
      <c r="R92" s="221"/>
      <c r="S92" s="221"/>
      <c r="T92" s="221">
        <v>37.49700707479046</v>
      </c>
      <c r="U92" s="221"/>
      <c r="V92" s="221"/>
      <c r="W92" s="221">
        <v>46.321865245995838</v>
      </c>
      <c r="X92" s="221"/>
      <c r="Y92" s="221"/>
      <c r="Z92" s="221">
        <v>70</v>
      </c>
      <c r="AA92" s="221"/>
      <c r="AB92" s="221"/>
      <c r="AC92" s="222" t="s">
        <v>157</v>
      </c>
      <c r="AD92" s="223"/>
      <c r="AE92" s="224"/>
      <c r="AF92" s="1"/>
    </row>
    <row r="93" spans="1:32" customFormat="1" ht="10.25" customHeight="1" x14ac:dyDescent="0.15">
      <c r="A93" s="1"/>
      <c r="B93" s="5"/>
      <c r="C93" s="95" t="s">
        <v>126</v>
      </c>
      <c r="D93" s="96"/>
      <c r="E93" s="96"/>
      <c r="F93" s="96"/>
      <c r="G93" s="97" t="s">
        <v>127</v>
      </c>
      <c r="H93" s="164">
        <v>0.72629204881947296</v>
      </c>
      <c r="I93" s="164"/>
      <c r="J93" s="164"/>
      <c r="K93" s="164">
        <v>0.72629204881947296</v>
      </c>
      <c r="L93" s="164"/>
      <c r="M93" s="164"/>
      <c r="N93" s="164" t="s">
        <v>157</v>
      </c>
      <c r="O93" s="164"/>
      <c r="P93" s="164"/>
      <c r="Q93" s="164">
        <v>4.1409000865783128</v>
      </c>
      <c r="R93" s="164"/>
      <c r="S93" s="164"/>
      <c r="T93" s="164">
        <v>4.0575337294469875</v>
      </c>
      <c r="U93" s="164"/>
      <c r="V93" s="164"/>
      <c r="W93" s="164">
        <v>4.1420410716707465</v>
      </c>
      <c r="X93" s="164"/>
      <c r="Y93" s="164"/>
      <c r="Z93" s="164" t="s">
        <v>157</v>
      </c>
      <c r="AA93" s="164"/>
      <c r="AB93" s="164"/>
      <c r="AC93" s="225" t="s">
        <v>157</v>
      </c>
      <c r="AD93" s="226"/>
      <c r="AE93" s="227"/>
      <c r="AF93" s="1"/>
    </row>
    <row r="94" spans="1:32" customFormat="1" ht="10.25" customHeight="1" x14ac:dyDescent="0.15">
      <c r="A94" s="1"/>
      <c r="B94" s="5"/>
      <c r="C94" s="184" t="s">
        <v>128</v>
      </c>
      <c r="D94" s="185"/>
      <c r="E94" s="185"/>
      <c r="F94" s="185"/>
      <c r="G94" s="186"/>
      <c r="H94" s="228"/>
      <c r="I94" s="228"/>
      <c r="J94" s="228"/>
      <c r="K94" s="229"/>
      <c r="L94" s="229"/>
      <c r="M94" s="229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30"/>
      <c r="AD94" s="230"/>
      <c r="AE94" s="231"/>
      <c r="AF94" s="1"/>
    </row>
    <row r="95" spans="1:32" customFormat="1" ht="10.25" customHeight="1" x14ac:dyDescent="0.15">
      <c r="A95" s="1"/>
      <c r="B95" s="5"/>
      <c r="C95" s="232" t="s">
        <v>129</v>
      </c>
      <c r="D95" s="23" t="s">
        <v>130</v>
      </c>
      <c r="E95" s="23"/>
      <c r="F95" s="23"/>
      <c r="G95" s="24" t="s">
        <v>24</v>
      </c>
      <c r="H95" s="221">
        <v>285.55557301220489</v>
      </c>
      <c r="I95" s="221"/>
      <c r="J95" s="221"/>
      <c r="K95" s="233">
        <v>285.37400000000002</v>
      </c>
      <c r="L95" s="234"/>
      <c r="M95" s="235"/>
      <c r="N95" s="221" t="s">
        <v>157</v>
      </c>
      <c r="O95" s="221"/>
      <c r="P95" s="221"/>
      <c r="Q95" s="221">
        <v>101.08</v>
      </c>
      <c r="R95" s="221"/>
      <c r="S95" s="221"/>
      <c r="T95" s="221">
        <v>138.57700707479046</v>
      </c>
      <c r="U95" s="221"/>
      <c r="V95" s="221"/>
      <c r="W95" s="221">
        <v>101.08</v>
      </c>
      <c r="X95" s="221"/>
      <c r="Y95" s="221"/>
      <c r="Z95" s="221">
        <v>101.08</v>
      </c>
      <c r="AA95" s="221"/>
      <c r="AB95" s="221"/>
      <c r="AC95" s="222" t="s">
        <v>157</v>
      </c>
      <c r="AD95" s="223"/>
      <c r="AE95" s="224"/>
      <c r="AF95" s="1"/>
    </row>
    <row r="96" spans="1:32" customFormat="1" ht="10.25" customHeight="1" x14ac:dyDescent="0.15">
      <c r="A96" s="1"/>
      <c r="B96" s="5"/>
      <c r="C96" s="236"/>
      <c r="D96" s="23" t="s">
        <v>131</v>
      </c>
      <c r="E96" s="23"/>
      <c r="F96" s="23"/>
      <c r="G96" s="24" t="s">
        <v>37</v>
      </c>
      <c r="H96" s="130">
        <v>168.5</v>
      </c>
      <c r="I96" s="131"/>
      <c r="J96" s="132"/>
      <c r="K96" s="130">
        <v>168.5</v>
      </c>
      <c r="L96" s="131"/>
      <c r="M96" s="132"/>
      <c r="N96" s="133" t="s">
        <v>157</v>
      </c>
      <c r="O96" s="133"/>
      <c r="P96" s="133"/>
      <c r="Q96" s="133">
        <v>34.918282667161009</v>
      </c>
      <c r="R96" s="133"/>
      <c r="S96" s="133"/>
      <c r="T96" s="133">
        <v>34.941822472663489</v>
      </c>
      <c r="U96" s="133"/>
      <c r="V96" s="133"/>
      <c r="W96" s="133">
        <v>35</v>
      </c>
      <c r="X96" s="133"/>
      <c r="Y96" s="133"/>
      <c r="Z96" s="133">
        <v>35</v>
      </c>
      <c r="AA96" s="133"/>
      <c r="AB96" s="133"/>
      <c r="AC96" s="134" t="s">
        <v>157</v>
      </c>
      <c r="AD96" s="135"/>
      <c r="AE96" s="136"/>
      <c r="AF96" s="1"/>
    </row>
    <row r="97" spans="1:32" customFormat="1" ht="10.25" customHeight="1" x14ac:dyDescent="0.15">
      <c r="A97" s="1"/>
      <c r="B97" s="5"/>
      <c r="C97" s="236"/>
      <c r="D97" s="23" t="s">
        <v>132</v>
      </c>
      <c r="E97" s="23"/>
      <c r="F97" s="23"/>
      <c r="G97" s="24" t="s">
        <v>39</v>
      </c>
      <c r="H97" s="130">
        <v>727.6</v>
      </c>
      <c r="I97" s="131"/>
      <c r="J97" s="132"/>
      <c r="K97" s="130">
        <v>727.6</v>
      </c>
      <c r="L97" s="131"/>
      <c r="M97" s="132"/>
      <c r="N97" s="133" t="s">
        <v>157</v>
      </c>
      <c r="O97" s="133"/>
      <c r="P97" s="133"/>
      <c r="Q97" s="133">
        <v>2.4584741923149354</v>
      </c>
      <c r="R97" s="133"/>
      <c r="S97" s="133"/>
      <c r="T97" s="133">
        <v>2.9131518135635299</v>
      </c>
      <c r="U97" s="133"/>
      <c r="V97" s="133"/>
      <c r="W97" s="133">
        <v>2.4578222584044687</v>
      </c>
      <c r="X97" s="133"/>
      <c r="Y97" s="133"/>
      <c r="Z97" s="133">
        <v>2.4584741923149354</v>
      </c>
      <c r="AA97" s="133"/>
      <c r="AB97" s="133"/>
      <c r="AC97" s="134" t="s">
        <v>157</v>
      </c>
      <c r="AD97" s="135"/>
      <c r="AE97" s="136"/>
      <c r="AF97" s="1"/>
    </row>
    <row r="98" spans="1:32" customFormat="1" ht="10.25" customHeight="1" x14ac:dyDescent="0.15">
      <c r="A98" s="1"/>
      <c r="B98" s="5"/>
      <c r="C98" s="236"/>
      <c r="D98" s="23" t="s">
        <v>133</v>
      </c>
      <c r="E98" s="23"/>
      <c r="F98" s="23"/>
      <c r="G98" s="24"/>
      <c r="H98" s="130" t="s">
        <v>157</v>
      </c>
      <c r="I98" s="131"/>
      <c r="J98" s="132"/>
      <c r="K98" s="130" t="s">
        <v>157</v>
      </c>
      <c r="L98" s="131"/>
      <c r="M98" s="132"/>
      <c r="N98" s="133" t="s">
        <v>157</v>
      </c>
      <c r="O98" s="133"/>
      <c r="P98" s="133"/>
      <c r="Q98" s="133">
        <v>4.2051444599247603E-2</v>
      </c>
      <c r="R98" s="133"/>
      <c r="S98" s="133"/>
      <c r="T98" s="133">
        <v>3.5480102539733605E-2</v>
      </c>
      <c r="U98" s="133"/>
      <c r="V98" s="133"/>
      <c r="W98" s="133">
        <v>4.2057021272852421E-2</v>
      </c>
      <c r="X98" s="133"/>
      <c r="Y98" s="133"/>
      <c r="Z98" s="133">
        <v>4.2051444599247603E-2</v>
      </c>
      <c r="AA98" s="133"/>
      <c r="AB98" s="133"/>
      <c r="AC98" s="134" t="s">
        <v>157</v>
      </c>
      <c r="AD98" s="135"/>
      <c r="AE98" s="136"/>
      <c r="AF98" s="1"/>
    </row>
    <row r="99" spans="1:32" customFormat="1" ht="10.25" customHeight="1" x14ac:dyDescent="0.15">
      <c r="A99" s="1"/>
      <c r="B99" s="5"/>
      <c r="C99" s="236"/>
      <c r="D99" s="23" t="s">
        <v>134</v>
      </c>
      <c r="E99" s="23"/>
      <c r="F99" s="23"/>
      <c r="G99" s="24" t="s">
        <v>135</v>
      </c>
      <c r="H99" s="130">
        <v>0.64992552382176816</v>
      </c>
      <c r="I99" s="131"/>
      <c r="J99" s="132"/>
      <c r="K99" s="130">
        <v>0.64992552382176816</v>
      </c>
      <c r="L99" s="131"/>
      <c r="M99" s="132"/>
      <c r="N99" s="133" t="s">
        <v>157</v>
      </c>
      <c r="O99" s="133"/>
      <c r="P99" s="133"/>
      <c r="Q99" s="133">
        <v>13.757210655745144</v>
      </c>
      <c r="R99" s="133"/>
      <c r="S99" s="133"/>
      <c r="T99" s="133">
        <v>11.610018811212182</v>
      </c>
      <c r="U99" s="133"/>
      <c r="V99" s="133"/>
      <c r="W99" s="133">
        <v>13.760859736596798</v>
      </c>
      <c r="X99" s="133"/>
      <c r="Y99" s="133"/>
      <c r="Z99" s="133">
        <v>13.757210655745144</v>
      </c>
      <c r="AA99" s="133"/>
      <c r="AB99" s="133"/>
      <c r="AC99" s="134" t="s">
        <v>157</v>
      </c>
      <c r="AD99" s="135"/>
      <c r="AE99" s="136"/>
      <c r="AF99" s="1"/>
    </row>
    <row r="100" spans="1:32" customFormat="1" ht="10.25" customHeight="1" x14ac:dyDescent="0.15">
      <c r="A100" s="1"/>
      <c r="B100" s="5"/>
      <c r="C100" s="236"/>
      <c r="D100" s="23" t="s">
        <v>136</v>
      </c>
      <c r="E100" s="23"/>
      <c r="F100" s="23"/>
      <c r="G100" s="24" t="s">
        <v>135</v>
      </c>
      <c r="H100" s="130">
        <v>4.5225280857927963</v>
      </c>
      <c r="I100" s="131"/>
      <c r="J100" s="132"/>
      <c r="K100" s="130">
        <v>4.5225280857927963</v>
      </c>
      <c r="L100" s="131"/>
      <c r="M100" s="132"/>
      <c r="N100" s="133" t="s">
        <v>157</v>
      </c>
      <c r="O100" s="133"/>
      <c r="P100" s="133"/>
      <c r="Q100" s="133">
        <v>77.819751740812919</v>
      </c>
      <c r="R100" s="133"/>
      <c r="S100" s="133"/>
      <c r="T100" s="133">
        <v>71.489310596124284</v>
      </c>
      <c r="U100" s="133"/>
      <c r="V100" s="133"/>
      <c r="W100" s="133">
        <v>77.830071846569155</v>
      </c>
      <c r="X100" s="133"/>
      <c r="Y100" s="133"/>
      <c r="Z100" s="133">
        <v>77.819751740812919</v>
      </c>
      <c r="AA100" s="133"/>
      <c r="AB100" s="133"/>
      <c r="AC100" s="134" t="s">
        <v>157</v>
      </c>
      <c r="AD100" s="135"/>
      <c r="AE100" s="136"/>
      <c r="AF100" s="1"/>
    </row>
    <row r="101" spans="1:32" customFormat="1" ht="10.25" customHeight="1" x14ac:dyDescent="0.15">
      <c r="A101" s="1"/>
      <c r="B101" s="5"/>
      <c r="C101" s="237"/>
      <c r="D101" s="23" t="s">
        <v>137</v>
      </c>
      <c r="E101" s="23"/>
      <c r="F101" s="23"/>
      <c r="G101" s="24" t="s">
        <v>138</v>
      </c>
      <c r="H101" s="130">
        <v>307.34055850831385</v>
      </c>
      <c r="I101" s="131"/>
      <c r="J101" s="132"/>
      <c r="K101" s="130">
        <v>307.34055850831385</v>
      </c>
      <c r="L101" s="131"/>
      <c r="M101" s="132"/>
      <c r="N101" s="133" t="s">
        <v>157</v>
      </c>
      <c r="O101" s="133"/>
      <c r="P101" s="133"/>
      <c r="Q101" s="133">
        <v>465.2929031134841</v>
      </c>
      <c r="R101" s="133"/>
      <c r="S101" s="133"/>
      <c r="T101" s="133">
        <v>392.67112302413756</v>
      </c>
      <c r="U101" s="133"/>
      <c r="V101" s="133"/>
      <c r="W101" s="133">
        <v>465.4163214041281</v>
      </c>
      <c r="X101" s="133"/>
      <c r="Y101" s="133"/>
      <c r="Z101" s="133">
        <v>465.2929031134841</v>
      </c>
      <c r="AA101" s="133"/>
      <c r="AB101" s="133"/>
      <c r="AC101" s="134" t="s">
        <v>157</v>
      </c>
      <c r="AD101" s="135"/>
      <c r="AE101" s="136"/>
      <c r="AF101" s="1"/>
    </row>
    <row r="102" spans="1:32" customFormat="1" ht="10.25" hidden="1" customHeight="1" x14ac:dyDescent="0.15">
      <c r="A102" s="1"/>
      <c r="B102" s="5"/>
      <c r="C102" s="238"/>
      <c r="D102" s="23" t="s">
        <v>139</v>
      </c>
      <c r="E102" s="23"/>
      <c r="F102" s="23"/>
      <c r="G102" s="24" t="s">
        <v>31</v>
      </c>
      <c r="H102" s="130"/>
      <c r="I102" s="131"/>
      <c r="J102" s="132"/>
      <c r="K102" s="130"/>
      <c r="L102" s="131"/>
      <c r="M102" s="132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4"/>
      <c r="AD102" s="135"/>
      <c r="AE102" s="136"/>
      <c r="AF102" s="1"/>
    </row>
    <row r="103" spans="1:32" customFormat="1" ht="10.25" customHeight="1" x14ac:dyDescent="0.15">
      <c r="A103" s="1"/>
      <c r="B103" s="5"/>
      <c r="C103" s="232" t="s">
        <v>140</v>
      </c>
      <c r="D103" s="23" t="s">
        <v>130</v>
      </c>
      <c r="E103" s="23"/>
      <c r="F103" s="23"/>
      <c r="G103" s="24" t="s">
        <v>24</v>
      </c>
      <c r="H103" s="233">
        <v>285.37400000000002</v>
      </c>
      <c r="I103" s="234"/>
      <c r="J103" s="235"/>
      <c r="K103" s="233">
        <v>284.89356224312337</v>
      </c>
      <c r="L103" s="234"/>
      <c r="M103" s="235"/>
      <c r="N103" s="221" t="s">
        <v>157</v>
      </c>
      <c r="O103" s="221"/>
      <c r="P103" s="221"/>
      <c r="Q103" s="221">
        <v>54.77639683805252</v>
      </c>
      <c r="R103" s="221"/>
      <c r="S103" s="221"/>
      <c r="T103" s="221">
        <v>101.08</v>
      </c>
      <c r="U103" s="221"/>
      <c r="V103" s="221"/>
      <c r="W103" s="221">
        <v>54.758134754004161</v>
      </c>
      <c r="X103" s="221"/>
      <c r="Y103" s="221"/>
      <c r="Z103" s="221">
        <v>31.08</v>
      </c>
      <c r="AA103" s="221"/>
      <c r="AB103" s="221"/>
      <c r="AC103" s="222" t="s">
        <v>157</v>
      </c>
      <c r="AD103" s="223"/>
      <c r="AE103" s="224"/>
      <c r="AF103" s="1"/>
    </row>
    <row r="104" spans="1:32" customFormat="1" ht="10.25" customHeight="1" x14ac:dyDescent="0.15">
      <c r="A104" s="1"/>
      <c r="B104" s="5"/>
      <c r="C104" s="236"/>
      <c r="D104" s="23" t="s">
        <v>131</v>
      </c>
      <c r="E104" s="23"/>
      <c r="F104" s="23"/>
      <c r="G104" s="24" t="s">
        <v>37</v>
      </c>
      <c r="H104" s="130">
        <v>168.5</v>
      </c>
      <c r="I104" s="131"/>
      <c r="J104" s="132"/>
      <c r="K104" s="130">
        <v>168.5</v>
      </c>
      <c r="L104" s="131"/>
      <c r="M104" s="132"/>
      <c r="N104" s="133" t="s">
        <v>157</v>
      </c>
      <c r="O104" s="133"/>
      <c r="P104" s="133"/>
      <c r="Q104" s="133">
        <v>34.862663412407812</v>
      </c>
      <c r="R104" s="133"/>
      <c r="S104" s="133"/>
      <c r="T104" s="133">
        <v>34.918282667161009</v>
      </c>
      <c r="U104" s="133"/>
      <c r="V104" s="133"/>
      <c r="W104" s="133">
        <v>35</v>
      </c>
      <c r="X104" s="133"/>
      <c r="Y104" s="133"/>
      <c r="Z104" s="133">
        <v>34.918282667161009</v>
      </c>
      <c r="AA104" s="133"/>
      <c r="AB104" s="133"/>
      <c r="AC104" s="134" t="s">
        <v>157</v>
      </c>
      <c r="AD104" s="135"/>
      <c r="AE104" s="136"/>
      <c r="AF104" s="1"/>
    </row>
    <row r="105" spans="1:32" customFormat="1" ht="10.25" customHeight="1" x14ac:dyDescent="0.15">
      <c r="A105" s="1"/>
      <c r="B105" s="5"/>
      <c r="C105" s="236"/>
      <c r="D105" s="23" t="s">
        <v>132</v>
      </c>
      <c r="E105" s="23"/>
      <c r="F105" s="23"/>
      <c r="G105" s="24" t="s">
        <v>39</v>
      </c>
      <c r="H105" s="130">
        <v>727.6</v>
      </c>
      <c r="I105" s="131"/>
      <c r="J105" s="132"/>
      <c r="K105" s="130">
        <v>727.6</v>
      </c>
      <c r="L105" s="131"/>
      <c r="M105" s="132"/>
      <c r="N105" s="133" t="s">
        <v>157</v>
      </c>
      <c r="O105" s="133"/>
      <c r="P105" s="133"/>
      <c r="Q105" s="133">
        <v>1.8963985701485662</v>
      </c>
      <c r="R105" s="133"/>
      <c r="S105" s="133"/>
      <c r="T105" s="133">
        <v>2.4578222584044687</v>
      </c>
      <c r="U105" s="133"/>
      <c r="V105" s="133"/>
      <c r="W105" s="133">
        <v>1.89533165070001</v>
      </c>
      <c r="X105" s="133"/>
      <c r="Y105" s="133"/>
      <c r="Z105" s="133">
        <v>1.6082323827645515</v>
      </c>
      <c r="AA105" s="133"/>
      <c r="AB105" s="133"/>
      <c r="AC105" s="134" t="s">
        <v>157</v>
      </c>
      <c r="AD105" s="135"/>
      <c r="AE105" s="136"/>
      <c r="AF105" s="1"/>
    </row>
    <row r="106" spans="1:32" customFormat="1" ht="10.25" customHeight="1" x14ac:dyDescent="0.15">
      <c r="A106" s="1"/>
      <c r="B106" s="5"/>
      <c r="C106" s="236"/>
      <c r="D106" s="23" t="s">
        <v>133</v>
      </c>
      <c r="E106" s="23"/>
      <c r="F106" s="23"/>
      <c r="G106" s="24"/>
      <c r="H106" s="130" t="s">
        <v>157</v>
      </c>
      <c r="I106" s="131"/>
      <c r="J106" s="132"/>
      <c r="K106" s="130" t="s">
        <v>157</v>
      </c>
      <c r="L106" s="131"/>
      <c r="M106" s="132"/>
      <c r="N106" s="133" t="s">
        <v>157</v>
      </c>
      <c r="O106" s="133"/>
      <c r="P106" s="133"/>
      <c r="Q106" s="133">
        <v>5.4520039360649329E-2</v>
      </c>
      <c r="R106" s="133"/>
      <c r="S106" s="133"/>
      <c r="T106" s="133">
        <v>4.2051444599247603E-2</v>
      </c>
      <c r="U106" s="133"/>
      <c r="V106" s="133"/>
      <c r="W106" s="133">
        <v>5.4538572691713021E-2</v>
      </c>
      <c r="X106" s="133"/>
      <c r="Y106" s="133"/>
      <c r="Z106" s="133">
        <v>6.4271857531199725E-2</v>
      </c>
      <c r="AA106" s="133"/>
      <c r="AB106" s="133"/>
      <c r="AC106" s="134" t="s">
        <v>157</v>
      </c>
      <c r="AD106" s="135"/>
      <c r="AE106" s="136"/>
      <c r="AF106" s="1"/>
    </row>
    <row r="107" spans="1:32" customFormat="1" ht="10.25" customHeight="1" x14ac:dyDescent="0.15">
      <c r="A107" s="1"/>
      <c r="B107" s="5"/>
      <c r="C107" s="236"/>
      <c r="D107" s="23" t="s">
        <v>134</v>
      </c>
      <c r="E107" s="23"/>
      <c r="F107" s="23"/>
      <c r="G107" s="24" t="s">
        <v>135</v>
      </c>
      <c r="H107" s="130">
        <v>0.64992552382176816</v>
      </c>
      <c r="I107" s="131"/>
      <c r="J107" s="132"/>
      <c r="K107" s="130">
        <v>0.64992552382176816</v>
      </c>
      <c r="L107" s="131"/>
      <c r="M107" s="132"/>
      <c r="N107" s="133" t="s">
        <v>157</v>
      </c>
      <c r="O107" s="133"/>
      <c r="P107" s="133"/>
      <c r="Q107" s="133">
        <v>17.834725193206523</v>
      </c>
      <c r="R107" s="133"/>
      <c r="S107" s="133"/>
      <c r="T107" s="133">
        <v>13.760859736596798</v>
      </c>
      <c r="U107" s="133"/>
      <c r="V107" s="133"/>
      <c r="W107" s="133">
        <v>17.844764710649955</v>
      </c>
      <c r="X107" s="133"/>
      <c r="Y107" s="133"/>
      <c r="Z107" s="133">
        <v>21.03038573147612</v>
      </c>
      <c r="AA107" s="133"/>
      <c r="AB107" s="133"/>
      <c r="AC107" s="134" t="s">
        <v>157</v>
      </c>
      <c r="AD107" s="135"/>
      <c r="AE107" s="136"/>
      <c r="AF107" s="1"/>
    </row>
    <row r="108" spans="1:32" customFormat="1" ht="10.25" customHeight="1" x14ac:dyDescent="0.15">
      <c r="A108" s="1"/>
      <c r="B108" s="5"/>
      <c r="C108" s="236"/>
      <c r="D108" s="23" t="s">
        <v>136</v>
      </c>
      <c r="E108" s="23"/>
      <c r="F108" s="23"/>
      <c r="G108" s="24" t="s">
        <v>135</v>
      </c>
      <c r="H108" s="130">
        <v>4.5225280857927963</v>
      </c>
      <c r="I108" s="131"/>
      <c r="J108" s="132"/>
      <c r="K108" s="130">
        <v>4.5225280857927963</v>
      </c>
      <c r="L108" s="131"/>
      <c r="M108" s="132"/>
      <c r="N108" s="133" t="s">
        <v>157</v>
      </c>
      <c r="O108" s="133"/>
      <c r="P108" s="133"/>
      <c r="Q108" s="133">
        <v>88.604924168571642</v>
      </c>
      <c r="R108" s="133"/>
      <c r="S108" s="133"/>
      <c r="T108" s="133">
        <v>77.830071846569155</v>
      </c>
      <c r="U108" s="133"/>
      <c r="V108" s="133"/>
      <c r="W108" s="133">
        <v>88.629859386831512</v>
      </c>
      <c r="X108" s="133"/>
      <c r="Y108" s="133"/>
      <c r="Z108" s="133">
        <v>96.216214574770987</v>
      </c>
      <c r="AA108" s="133"/>
      <c r="AB108" s="133"/>
      <c r="AC108" s="134" t="s">
        <v>157</v>
      </c>
      <c r="AD108" s="135"/>
      <c r="AE108" s="136"/>
      <c r="AF108" s="1"/>
    </row>
    <row r="109" spans="1:32" customFormat="1" ht="10.25" customHeight="1" x14ac:dyDescent="0.15">
      <c r="A109" s="1"/>
      <c r="B109" s="5"/>
      <c r="C109" s="237"/>
      <c r="D109" s="23" t="s">
        <v>141</v>
      </c>
      <c r="E109" s="23"/>
      <c r="F109" s="23"/>
      <c r="G109" s="24" t="s">
        <v>138</v>
      </c>
      <c r="H109" s="130">
        <v>307.34055850831385</v>
      </c>
      <c r="I109" s="131"/>
      <c r="J109" s="132"/>
      <c r="K109" s="130">
        <v>307.34055850831385</v>
      </c>
      <c r="L109" s="131"/>
      <c r="M109" s="132"/>
      <c r="N109" s="133" t="s">
        <v>157</v>
      </c>
      <c r="O109" s="133"/>
      <c r="P109" s="133"/>
      <c r="Q109" s="133">
        <v>603.20156963743057</v>
      </c>
      <c r="R109" s="133"/>
      <c r="S109" s="133"/>
      <c r="T109" s="133">
        <v>465.4163214041281</v>
      </c>
      <c r="U109" s="133"/>
      <c r="V109" s="133"/>
      <c r="W109" s="133">
        <v>603.54112365997241</v>
      </c>
      <c r="X109" s="133"/>
      <c r="Y109" s="133"/>
      <c r="Z109" s="133">
        <v>711.28439299637284</v>
      </c>
      <c r="AA109" s="133"/>
      <c r="AB109" s="133"/>
      <c r="AC109" s="134" t="s">
        <v>157</v>
      </c>
      <c r="AD109" s="135"/>
      <c r="AE109" s="136"/>
      <c r="AF109" s="1"/>
    </row>
    <row r="110" spans="1:32" customFormat="1" ht="10.25" hidden="1" customHeight="1" x14ac:dyDescent="0.15">
      <c r="A110" s="1"/>
      <c r="B110" s="5"/>
      <c r="C110" s="144" t="s">
        <v>142</v>
      </c>
      <c r="D110" s="145" t="s">
        <v>139</v>
      </c>
      <c r="E110" s="145"/>
      <c r="F110" s="145"/>
      <c r="G110" s="146" t="s">
        <v>31</v>
      </c>
      <c r="H110" s="239"/>
      <c r="I110" s="240"/>
      <c r="J110" s="241"/>
      <c r="K110" s="239"/>
      <c r="L110" s="240"/>
      <c r="M110" s="241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42"/>
      <c r="AA110" s="242"/>
      <c r="AB110" s="242"/>
      <c r="AC110" s="243"/>
      <c r="AD110" s="244"/>
      <c r="AE110" s="245"/>
      <c r="AF110" s="1"/>
    </row>
    <row r="111" spans="1:32" customFormat="1" ht="10.25" customHeight="1" x14ac:dyDescent="0.15">
      <c r="A111" s="1"/>
      <c r="B111" s="5"/>
      <c r="C111" s="246" t="s">
        <v>143</v>
      </c>
      <c r="D111" s="247"/>
      <c r="E111" s="248"/>
      <c r="F111" s="248"/>
      <c r="G111" s="248"/>
      <c r="H111" s="248"/>
      <c r="I111" s="248"/>
      <c r="J111" s="248"/>
      <c r="K111" s="248"/>
      <c r="L111" s="248"/>
      <c r="M111" s="249"/>
      <c r="N111" s="250"/>
      <c r="O111" s="251"/>
      <c r="P111" s="252"/>
      <c r="Q111" s="250"/>
      <c r="R111" s="251"/>
      <c r="S111" s="251"/>
      <c r="T111" s="251"/>
      <c r="U111" s="252"/>
      <c r="V111" s="250"/>
      <c r="W111" s="251"/>
      <c r="X111" s="251"/>
      <c r="Y111" s="251"/>
      <c r="Z111" s="252"/>
      <c r="AA111" s="250"/>
      <c r="AB111" s="251"/>
      <c r="AC111" s="251"/>
      <c r="AD111" s="251"/>
      <c r="AE111" s="253"/>
      <c r="AF111" s="1"/>
    </row>
    <row r="112" spans="1:32" customFormat="1" ht="10.25" customHeight="1" x14ac:dyDescent="0.15">
      <c r="A112" s="1"/>
      <c r="B112" s="5"/>
      <c r="C112" s="57" t="s">
        <v>144</v>
      </c>
      <c r="D112" s="254"/>
      <c r="E112" s="255"/>
      <c r="F112" s="255"/>
      <c r="G112" s="255"/>
      <c r="H112" s="255"/>
      <c r="I112" s="255"/>
      <c r="J112" s="255"/>
      <c r="K112" s="255"/>
      <c r="L112" s="255"/>
      <c r="M112" s="256"/>
      <c r="N112" s="257"/>
      <c r="O112" s="258"/>
      <c r="P112" s="259"/>
      <c r="Q112" s="257"/>
      <c r="R112" s="258"/>
      <c r="S112" s="258"/>
      <c r="T112" s="258"/>
      <c r="U112" s="259"/>
      <c r="V112" s="257"/>
      <c r="W112" s="258"/>
      <c r="X112" s="258"/>
      <c r="Y112" s="258"/>
      <c r="Z112" s="259"/>
      <c r="AA112" s="257"/>
      <c r="AB112" s="258"/>
      <c r="AC112" s="258"/>
      <c r="AD112" s="258"/>
      <c r="AE112" s="260"/>
      <c r="AF112" s="1"/>
    </row>
    <row r="113" spans="1:137" customFormat="1" ht="10.25" customHeight="1" x14ac:dyDescent="0.15">
      <c r="A113" s="1"/>
      <c r="B113" s="5"/>
      <c r="C113" s="95" t="s">
        <v>145</v>
      </c>
      <c r="D113" s="261"/>
      <c r="E113" s="262"/>
      <c r="F113" s="262"/>
      <c r="G113" s="262"/>
      <c r="H113" s="262"/>
      <c r="I113" s="262"/>
      <c r="J113" s="262"/>
      <c r="K113" s="262"/>
      <c r="L113" s="262"/>
      <c r="M113" s="263"/>
      <c r="N113" s="264"/>
      <c r="O113" s="265"/>
      <c r="P113" s="266"/>
      <c r="Q113" s="264"/>
      <c r="R113" s="265"/>
      <c r="S113" s="265"/>
      <c r="T113" s="265"/>
      <c r="U113" s="266"/>
      <c r="V113" s="264"/>
      <c r="W113" s="265"/>
      <c r="X113" s="265"/>
      <c r="Y113" s="265"/>
      <c r="Z113" s="266"/>
      <c r="AA113" s="264"/>
      <c r="AB113" s="265"/>
      <c r="AC113" s="265"/>
      <c r="AD113" s="265"/>
      <c r="AE113" s="267"/>
      <c r="AF113" s="1"/>
    </row>
    <row r="114" spans="1:137" customFormat="1" ht="10.25" customHeight="1" x14ac:dyDescent="0.15">
      <c r="A114" s="1"/>
      <c r="B114" s="5"/>
      <c r="C114" s="268"/>
      <c r="D114" s="269" t="s">
        <v>146</v>
      </c>
      <c r="E114" s="270"/>
      <c r="F114" s="270"/>
      <c r="G114" s="270"/>
      <c r="H114" s="270"/>
      <c r="I114" s="270"/>
      <c r="J114" s="270"/>
      <c r="K114" s="270"/>
      <c r="L114" s="270"/>
      <c r="M114" s="271"/>
      <c r="N114" s="272" t="s">
        <v>147</v>
      </c>
      <c r="O114" s="273"/>
      <c r="P114" s="274"/>
      <c r="Q114" s="272" t="s">
        <v>148</v>
      </c>
      <c r="R114" s="273"/>
      <c r="S114" s="273"/>
      <c r="T114" s="273"/>
      <c r="U114" s="274"/>
      <c r="V114" s="272" t="s">
        <v>149</v>
      </c>
      <c r="W114" s="273"/>
      <c r="X114" s="273"/>
      <c r="Y114" s="273"/>
      <c r="Z114" s="274"/>
      <c r="AA114" s="272" t="s">
        <v>150</v>
      </c>
      <c r="AB114" s="273"/>
      <c r="AC114" s="273"/>
      <c r="AD114" s="273"/>
      <c r="AE114" s="275"/>
      <c r="AF114" s="1"/>
    </row>
    <row r="115" spans="1:137" customFormat="1" ht="10.25" customHeight="1" x14ac:dyDescent="0.15">
      <c r="A115" s="1"/>
      <c r="B115" s="5"/>
      <c r="C115" s="276"/>
      <c r="D115" s="277"/>
      <c r="E115" s="278"/>
      <c r="F115" s="278"/>
      <c r="G115" s="278"/>
      <c r="H115" s="278"/>
      <c r="I115" s="278"/>
      <c r="J115" s="278"/>
      <c r="K115" s="278"/>
      <c r="L115" s="278"/>
      <c r="M115" s="279"/>
      <c r="N115" s="272" t="s">
        <v>151</v>
      </c>
      <c r="O115" s="273"/>
      <c r="P115" s="273"/>
      <c r="Q115" s="273"/>
      <c r="R115" s="273"/>
      <c r="S115" s="273"/>
      <c r="T115" s="272" t="s">
        <v>152</v>
      </c>
      <c r="U115" s="273"/>
      <c r="V115" s="273"/>
      <c r="W115" s="273"/>
      <c r="X115" s="273"/>
      <c r="Y115" s="273"/>
      <c r="Z115" s="274"/>
      <c r="AA115" s="273" t="s">
        <v>153</v>
      </c>
      <c r="AB115" s="273"/>
      <c r="AC115" s="273"/>
      <c r="AD115" s="273"/>
      <c r="AE115" s="275"/>
      <c r="AF115" s="1"/>
    </row>
    <row r="116" spans="1:137" customFormat="1" ht="10.25" customHeight="1" thickBot="1" x14ac:dyDescent="0.2">
      <c r="A116" s="1"/>
      <c r="B116" s="5"/>
      <c r="C116" s="280"/>
      <c r="D116" s="281"/>
      <c r="E116" s="282"/>
      <c r="F116" s="282"/>
      <c r="G116" s="282"/>
      <c r="H116" s="282"/>
      <c r="I116" s="282"/>
      <c r="J116" s="282"/>
      <c r="K116" s="282"/>
      <c r="L116" s="282"/>
      <c r="M116" s="283"/>
      <c r="N116" s="284"/>
      <c r="O116" s="285"/>
      <c r="P116" s="285"/>
      <c r="Q116" s="285"/>
      <c r="R116" s="285"/>
      <c r="S116" s="285"/>
      <c r="T116" s="284"/>
      <c r="U116" s="285"/>
      <c r="V116" s="285"/>
      <c r="W116" s="285"/>
      <c r="X116" s="285"/>
      <c r="Y116" s="285"/>
      <c r="Z116" s="286"/>
      <c r="AA116" s="284"/>
      <c r="AB116" s="285"/>
      <c r="AC116" s="287" t="s">
        <v>154</v>
      </c>
      <c r="AD116" s="285"/>
      <c r="AE116" s="288"/>
      <c r="AF116" s="1"/>
    </row>
    <row r="117" spans="1:137" customFormat="1" ht="11.75" customHeight="1" thickTop="1" x14ac:dyDescent="0.15">
      <c r="A117" s="1"/>
      <c r="B117" s="289"/>
      <c r="C117" s="290" t="s">
        <v>155</v>
      </c>
      <c r="D117" s="291"/>
      <c r="E117" s="291"/>
      <c r="F117" s="291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  <c r="R117" s="292"/>
      <c r="S117" s="292"/>
      <c r="T117" s="292"/>
      <c r="U117" s="292"/>
      <c r="V117" s="292"/>
      <c r="W117" s="292"/>
      <c r="X117" s="292"/>
      <c r="Y117" s="292"/>
      <c r="Z117" s="292"/>
      <c r="AA117" s="293"/>
      <c r="AB117" s="293"/>
      <c r="AC117" s="292"/>
      <c r="AD117" s="292"/>
      <c r="AE117" s="4" t="s">
        <v>156</v>
      </c>
      <c r="AF117" s="1"/>
    </row>
    <row r="118" spans="1:137" ht="11.75" customHeight="1" x14ac:dyDescent="0.15">
      <c r="AW118" s="298"/>
      <c r="AX118" s="298"/>
      <c r="AY118" s="298"/>
      <c r="AZ118" s="298"/>
      <c r="BA118" s="298"/>
      <c r="BB118" s="298"/>
      <c r="BC118" s="298"/>
      <c r="BD118" s="298"/>
      <c r="BE118" s="298"/>
      <c r="BF118" s="298"/>
      <c r="BG118" s="298"/>
      <c r="BH118" s="298"/>
      <c r="BI118" s="298"/>
      <c r="BJ118" s="298"/>
      <c r="BK118" s="298"/>
      <c r="BL118" s="298"/>
      <c r="BM118" s="298"/>
      <c r="BN118" s="298"/>
      <c r="BO118" s="298"/>
      <c r="BP118" s="298"/>
      <c r="BQ118" s="298"/>
      <c r="BR118" s="298"/>
      <c r="BS118" s="298"/>
      <c r="BT118" s="298"/>
      <c r="BU118" s="298"/>
      <c r="BV118" s="298"/>
      <c r="BW118" s="298"/>
      <c r="BX118" s="299"/>
      <c r="BY118" s="299"/>
      <c r="BZ118" s="299"/>
      <c r="CA118" s="299"/>
      <c r="CB118" s="299"/>
      <c r="CC118" s="299"/>
      <c r="CD118" s="299"/>
      <c r="CE118" s="299"/>
      <c r="CF118" s="299"/>
      <c r="CG118" s="299"/>
      <c r="CH118" s="299"/>
      <c r="CI118" s="299"/>
      <c r="CJ118" s="299"/>
      <c r="CK118" s="299"/>
      <c r="CL118" s="299"/>
      <c r="CM118" s="299"/>
      <c r="CN118" s="299"/>
      <c r="CO118" s="299"/>
      <c r="CP118" s="299"/>
      <c r="CQ118" s="299"/>
      <c r="CR118" s="299"/>
      <c r="CS118" s="299"/>
      <c r="CT118" s="299"/>
      <c r="CU118" s="299"/>
      <c r="CV118" s="299"/>
      <c r="CW118" s="299"/>
      <c r="CX118" s="299"/>
      <c r="CY118" s="299"/>
      <c r="CZ118" s="299"/>
      <c r="DA118" s="299"/>
      <c r="DB118" s="299"/>
      <c r="DC118" s="299"/>
      <c r="DD118" s="299"/>
      <c r="DE118" s="299"/>
      <c r="DF118" s="299"/>
      <c r="DG118" s="299"/>
      <c r="DH118" s="299"/>
      <c r="DI118" s="299"/>
      <c r="DJ118" s="299"/>
      <c r="DK118" s="299"/>
      <c r="DL118" s="299"/>
      <c r="DM118" s="299"/>
      <c r="DN118" s="299"/>
      <c r="DO118" s="299"/>
      <c r="DP118" s="299"/>
      <c r="DQ118" s="299"/>
      <c r="DR118" s="299"/>
      <c r="DS118" s="298"/>
      <c r="DT118" s="298"/>
      <c r="DU118" s="298"/>
      <c r="DV118" s="298"/>
      <c r="DW118" s="298"/>
      <c r="DX118" s="298"/>
      <c r="DY118" s="298"/>
      <c r="DZ118" s="298"/>
      <c r="EA118" s="298"/>
      <c r="EB118" s="298"/>
      <c r="EC118" s="298"/>
      <c r="ED118" s="298"/>
      <c r="EE118" s="298"/>
      <c r="EF118" s="298"/>
      <c r="EG118" s="298"/>
    </row>
    <row r="119" spans="1:137" ht="11.75" customHeight="1" x14ac:dyDescent="0.15">
      <c r="AW119" s="298"/>
      <c r="AX119" s="298"/>
      <c r="AY119" s="298"/>
      <c r="AZ119" s="298"/>
      <c r="BA119" s="298"/>
      <c r="BB119" s="298"/>
      <c r="BC119" s="298"/>
      <c r="BD119" s="298"/>
      <c r="BE119" s="298"/>
      <c r="BF119" s="298"/>
      <c r="BG119" s="298"/>
      <c r="BH119" s="298"/>
      <c r="BI119" s="298"/>
      <c r="BJ119" s="298"/>
      <c r="BK119" s="298"/>
      <c r="BL119" s="298"/>
      <c r="BM119" s="298"/>
      <c r="BN119" s="298"/>
      <c r="BO119" s="298"/>
      <c r="BP119" s="298"/>
      <c r="BQ119" s="298"/>
      <c r="BR119" s="298"/>
      <c r="BS119" s="298"/>
      <c r="BT119" s="298"/>
      <c r="BU119" s="298"/>
      <c r="BV119" s="298"/>
      <c r="BW119" s="298"/>
      <c r="BX119" s="299"/>
      <c r="BY119" s="299"/>
      <c r="BZ119" s="299"/>
      <c r="CA119" s="299"/>
      <c r="CB119" s="299"/>
      <c r="CC119" s="299"/>
      <c r="CD119" s="299"/>
      <c r="CE119" s="299"/>
      <c r="CF119" s="299"/>
      <c r="CG119" s="299"/>
      <c r="CH119" s="299"/>
      <c r="CI119" s="299"/>
      <c r="CJ119" s="299"/>
      <c r="CK119" s="299"/>
      <c r="CL119" s="299"/>
      <c r="CM119" s="299"/>
      <c r="CN119" s="299"/>
      <c r="CO119" s="299"/>
      <c r="CP119" s="299"/>
      <c r="CQ119" s="299"/>
      <c r="CR119" s="299"/>
      <c r="CS119" s="299"/>
      <c r="CT119" s="299"/>
      <c r="CU119" s="299"/>
      <c r="CV119" s="299"/>
      <c r="CW119" s="299"/>
      <c r="CX119" s="299"/>
      <c r="CY119" s="299"/>
      <c r="CZ119" s="299"/>
      <c r="DA119" s="299"/>
      <c r="DB119" s="299"/>
      <c r="DC119" s="299"/>
      <c r="DD119" s="299"/>
      <c r="DE119" s="299"/>
      <c r="DF119" s="299"/>
      <c r="DG119" s="299"/>
      <c r="DH119" s="299"/>
      <c r="DI119" s="299"/>
      <c r="DJ119" s="299"/>
      <c r="DK119" s="299"/>
      <c r="DL119" s="299"/>
      <c r="DM119" s="299"/>
      <c r="DN119" s="299"/>
      <c r="DO119" s="299"/>
      <c r="DP119" s="299"/>
      <c r="DQ119" s="299"/>
      <c r="DR119" s="299"/>
      <c r="DS119" s="298"/>
      <c r="DT119" s="298"/>
      <c r="DU119" s="298"/>
      <c r="DV119" s="298"/>
      <c r="DW119" s="298"/>
      <c r="DX119" s="298"/>
      <c r="DY119" s="298"/>
      <c r="DZ119" s="298"/>
      <c r="EA119" s="298"/>
      <c r="EB119" s="298"/>
      <c r="EC119" s="298"/>
      <c r="ED119" s="298"/>
      <c r="EE119" s="298"/>
      <c r="EF119" s="298"/>
      <c r="EG119" s="298"/>
    </row>
    <row r="120" spans="1:137" ht="11.75" customHeight="1" x14ac:dyDescent="0.15">
      <c r="AW120" s="298"/>
      <c r="AX120" s="298"/>
      <c r="AY120" s="298"/>
      <c r="AZ120" s="298"/>
      <c r="BA120" s="298"/>
      <c r="BB120" s="298"/>
      <c r="BC120" s="298"/>
      <c r="BD120" s="298"/>
      <c r="BE120" s="298"/>
      <c r="BF120" s="298"/>
      <c r="BG120" s="298"/>
      <c r="BH120" s="298"/>
      <c r="BI120" s="298"/>
      <c r="BJ120" s="298"/>
      <c r="BK120" s="298"/>
      <c r="BL120" s="298"/>
      <c r="BM120" s="298"/>
      <c r="BN120" s="298"/>
      <c r="BO120" s="298"/>
      <c r="BP120" s="298"/>
      <c r="BQ120" s="298"/>
      <c r="BR120" s="298"/>
      <c r="BS120" s="298"/>
      <c r="BT120" s="298"/>
      <c r="BU120" s="298"/>
      <c r="BV120" s="298"/>
      <c r="BW120" s="298"/>
      <c r="BX120" s="299"/>
      <c r="BY120" s="299"/>
      <c r="BZ120" s="299"/>
      <c r="CA120" s="299"/>
      <c r="CB120" s="299"/>
      <c r="CC120" s="299"/>
      <c r="CD120" s="299"/>
      <c r="CE120" s="299"/>
      <c r="CF120" s="299"/>
      <c r="CG120" s="299"/>
      <c r="CH120" s="299"/>
      <c r="CI120" s="299"/>
      <c r="CJ120" s="299"/>
      <c r="CK120" s="299"/>
      <c r="CL120" s="299"/>
      <c r="CM120" s="299"/>
      <c r="CN120" s="299"/>
      <c r="CO120" s="299"/>
      <c r="CP120" s="299"/>
      <c r="CQ120" s="299"/>
      <c r="CR120" s="299"/>
      <c r="CS120" s="299"/>
      <c r="CT120" s="299"/>
      <c r="CU120" s="299"/>
      <c r="CV120" s="299"/>
      <c r="CW120" s="299"/>
      <c r="CX120" s="299"/>
      <c r="CY120" s="299"/>
      <c r="CZ120" s="299"/>
      <c r="DA120" s="299"/>
      <c r="DB120" s="299"/>
      <c r="DC120" s="299"/>
      <c r="DD120" s="299"/>
      <c r="DE120" s="299"/>
      <c r="DF120" s="299"/>
      <c r="DG120" s="299"/>
      <c r="DH120" s="299"/>
      <c r="DI120" s="299"/>
      <c r="DJ120" s="299"/>
      <c r="DK120" s="299"/>
      <c r="DL120" s="299"/>
      <c r="DM120" s="299"/>
      <c r="DN120" s="299"/>
      <c r="DO120" s="299"/>
      <c r="DP120" s="299"/>
      <c r="DQ120" s="299"/>
      <c r="DR120" s="299"/>
      <c r="DS120" s="298"/>
      <c r="DT120" s="298"/>
      <c r="DU120" s="298"/>
      <c r="DV120" s="298"/>
      <c r="DW120" s="298"/>
      <c r="DX120" s="298"/>
      <c r="DY120" s="298"/>
      <c r="DZ120" s="298"/>
      <c r="EA120" s="298"/>
      <c r="EB120" s="298"/>
      <c r="EC120" s="298"/>
      <c r="ED120" s="298"/>
      <c r="EE120" s="298"/>
      <c r="EF120" s="298"/>
      <c r="EG120" s="298"/>
    </row>
    <row r="121" spans="1:137" ht="11.75" customHeight="1" x14ac:dyDescent="0.15">
      <c r="AW121" s="298"/>
      <c r="AX121" s="298"/>
      <c r="AY121" s="298"/>
      <c r="AZ121" s="298"/>
      <c r="BA121" s="298"/>
      <c r="BB121" s="298"/>
      <c r="BC121" s="298"/>
      <c r="BD121" s="298"/>
      <c r="BE121" s="298"/>
      <c r="BF121" s="298"/>
      <c r="BG121" s="298"/>
      <c r="BH121" s="298"/>
      <c r="BI121" s="298"/>
      <c r="BJ121" s="298"/>
      <c r="BK121" s="298"/>
      <c r="BL121" s="298"/>
      <c r="BM121" s="298"/>
      <c r="BN121" s="298"/>
      <c r="BO121" s="298"/>
      <c r="BP121" s="298"/>
      <c r="BQ121" s="298"/>
      <c r="BR121" s="298"/>
      <c r="BS121" s="298"/>
      <c r="BT121" s="298"/>
      <c r="BU121" s="298"/>
      <c r="BV121" s="298"/>
      <c r="BW121" s="298"/>
      <c r="BX121" s="299"/>
      <c r="BY121" s="299"/>
      <c r="BZ121" s="299"/>
      <c r="CA121" s="299"/>
      <c r="CB121" s="299"/>
      <c r="CC121" s="299"/>
      <c r="CD121" s="299"/>
      <c r="CE121" s="299"/>
      <c r="CF121" s="299"/>
      <c r="CG121" s="299"/>
      <c r="CH121" s="299"/>
      <c r="CI121" s="299"/>
      <c r="CJ121" s="299"/>
      <c r="CK121" s="299"/>
      <c r="CL121" s="299"/>
      <c r="CM121" s="299"/>
      <c r="CN121" s="299"/>
      <c r="CO121" s="299"/>
      <c r="CP121" s="299"/>
      <c r="CQ121" s="299"/>
      <c r="CR121" s="299"/>
      <c r="CS121" s="299"/>
      <c r="CT121" s="299"/>
      <c r="CU121" s="299"/>
      <c r="CV121" s="299"/>
      <c r="CW121" s="299"/>
      <c r="CX121" s="299"/>
      <c r="CY121" s="299"/>
      <c r="CZ121" s="299"/>
      <c r="DA121" s="299"/>
      <c r="DB121" s="299"/>
      <c r="DC121" s="299"/>
      <c r="DD121" s="299"/>
      <c r="DE121" s="299"/>
      <c r="DF121" s="299"/>
      <c r="DG121" s="299"/>
      <c r="DH121" s="299"/>
      <c r="DI121" s="299"/>
      <c r="DJ121" s="299"/>
      <c r="DK121" s="299"/>
      <c r="DL121" s="299"/>
      <c r="DM121" s="299"/>
      <c r="DN121" s="299"/>
      <c r="DO121" s="299"/>
      <c r="DP121" s="299"/>
      <c r="DQ121" s="299"/>
      <c r="DR121" s="299"/>
      <c r="DS121" s="298"/>
      <c r="DT121" s="298"/>
      <c r="DU121" s="298"/>
      <c r="DV121" s="298"/>
      <c r="DW121" s="298"/>
      <c r="DX121" s="298"/>
      <c r="DY121" s="298"/>
      <c r="DZ121" s="298"/>
      <c r="EA121" s="298"/>
      <c r="EB121" s="298"/>
      <c r="EC121" s="298"/>
      <c r="ED121" s="298"/>
      <c r="EE121" s="298"/>
      <c r="EF121" s="298"/>
      <c r="EG121" s="298"/>
    </row>
    <row r="122" spans="1:137" ht="11.75" customHeight="1" x14ac:dyDescent="0.15">
      <c r="AW122" s="298"/>
      <c r="AX122" s="298"/>
      <c r="AY122" s="298"/>
      <c r="AZ122" s="298"/>
      <c r="BA122" s="298"/>
      <c r="BB122" s="298"/>
      <c r="BC122" s="298"/>
      <c r="BD122" s="298"/>
      <c r="BE122" s="298"/>
      <c r="BF122" s="298"/>
      <c r="BG122" s="298"/>
      <c r="BH122" s="298"/>
      <c r="BI122" s="298"/>
      <c r="BJ122" s="298"/>
      <c r="BK122" s="298"/>
      <c r="BL122" s="298"/>
      <c r="BM122" s="298"/>
      <c r="BN122" s="298"/>
      <c r="BO122" s="298"/>
      <c r="BP122" s="298"/>
      <c r="BQ122" s="298"/>
      <c r="BR122" s="298"/>
      <c r="BS122" s="298"/>
      <c r="BT122" s="298"/>
      <c r="BU122" s="298"/>
      <c r="BV122" s="298"/>
      <c r="BW122" s="298"/>
      <c r="BX122" s="299"/>
      <c r="BY122" s="299"/>
      <c r="BZ122" s="299"/>
      <c r="CA122" s="299"/>
      <c r="CB122" s="299"/>
      <c r="CC122" s="299"/>
      <c r="CD122" s="299"/>
      <c r="CE122" s="299"/>
      <c r="CF122" s="299"/>
      <c r="CG122" s="299"/>
      <c r="CH122" s="299"/>
      <c r="CI122" s="299"/>
      <c r="CJ122" s="299"/>
      <c r="CK122" s="299"/>
      <c r="CL122" s="299"/>
      <c r="CM122" s="299"/>
      <c r="CN122" s="299"/>
      <c r="CO122" s="299"/>
      <c r="CP122" s="299"/>
      <c r="CQ122" s="299"/>
      <c r="CR122" s="299"/>
      <c r="CS122" s="299"/>
      <c r="CT122" s="299"/>
      <c r="CU122" s="299"/>
      <c r="CV122" s="299"/>
      <c r="CW122" s="299"/>
      <c r="CX122" s="299"/>
      <c r="CY122" s="299"/>
      <c r="CZ122" s="299"/>
      <c r="DA122" s="299"/>
      <c r="DB122" s="299"/>
      <c r="DC122" s="299"/>
      <c r="DD122" s="299"/>
      <c r="DE122" s="299"/>
      <c r="DF122" s="299"/>
      <c r="DG122" s="299"/>
      <c r="DH122" s="299"/>
      <c r="DI122" s="299"/>
      <c r="DJ122" s="299"/>
      <c r="DK122" s="299"/>
      <c r="DL122" s="299"/>
      <c r="DM122" s="299"/>
      <c r="DN122" s="299"/>
      <c r="DO122" s="299"/>
      <c r="DP122" s="299"/>
      <c r="DQ122" s="299"/>
      <c r="DR122" s="299"/>
      <c r="DS122" s="298"/>
      <c r="DT122" s="298"/>
      <c r="DU122" s="298"/>
      <c r="DV122" s="298"/>
      <c r="DW122" s="298"/>
      <c r="DX122" s="298"/>
      <c r="DY122" s="298"/>
      <c r="DZ122" s="298"/>
      <c r="EA122" s="298"/>
      <c r="EB122" s="298"/>
      <c r="EC122" s="298"/>
      <c r="ED122" s="298"/>
      <c r="EE122" s="298"/>
      <c r="EF122" s="298"/>
      <c r="EG122" s="298"/>
    </row>
    <row r="123" spans="1:137" ht="11.75" customHeight="1" x14ac:dyDescent="0.15">
      <c r="AW123" s="298"/>
      <c r="AX123" s="298"/>
      <c r="AY123" s="298"/>
      <c r="AZ123" s="298"/>
      <c r="BA123" s="298"/>
      <c r="BB123" s="298"/>
      <c r="BC123" s="298"/>
      <c r="BD123" s="298"/>
      <c r="BE123" s="298"/>
      <c r="BF123" s="298"/>
      <c r="BG123" s="298"/>
      <c r="BH123" s="298"/>
      <c r="BI123" s="298"/>
      <c r="BJ123" s="298"/>
      <c r="BK123" s="298"/>
      <c r="BL123" s="298"/>
      <c r="BM123" s="298"/>
      <c r="BN123" s="298"/>
      <c r="BO123" s="298"/>
      <c r="BP123" s="298"/>
      <c r="BQ123" s="298"/>
      <c r="BR123" s="298"/>
      <c r="BS123" s="298"/>
      <c r="BT123" s="298"/>
      <c r="BU123" s="298"/>
      <c r="BV123" s="298"/>
      <c r="BW123" s="298"/>
      <c r="BX123" s="299"/>
      <c r="BY123" s="299"/>
      <c r="BZ123" s="299"/>
      <c r="CA123" s="299"/>
      <c r="CB123" s="299"/>
      <c r="CC123" s="299"/>
      <c r="CD123" s="299"/>
      <c r="CE123" s="299"/>
      <c r="CF123" s="299"/>
      <c r="CG123" s="299"/>
      <c r="CH123" s="299"/>
      <c r="CI123" s="299"/>
      <c r="CJ123" s="299"/>
      <c r="CK123" s="299"/>
      <c r="CL123" s="299"/>
      <c r="CM123" s="299"/>
      <c r="CN123" s="299"/>
      <c r="CO123" s="299"/>
      <c r="CP123" s="299"/>
      <c r="CQ123" s="299"/>
      <c r="CR123" s="299"/>
      <c r="CS123" s="299"/>
      <c r="CT123" s="299"/>
      <c r="CU123" s="299"/>
      <c r="CV123" s="299"/>
      <c r="CW123" s="299"/>
      <c r="CX123" s="299"/>
      <c r="CY123" s="299"/>
      <c r="CZ123" s="299"/>
      <c r="DA123" s="299"/>
      <c r="DB123" s="299"/>
      <c r="DC123" s="299"/>
      <c r="DD123" s="299"/>
      <c r="DE123" s="299"/>
      <c r="DF123" s="299"/>
      <c r="DG123" s="299"/>
      <c r="DH123" s="299"/>
      <c r="DI123" s="299"/>
      <c r="DJ123" s="299"/>
      <c r="DK123" s="299"/>
      <c r="DL123" s="299"/>
      <c r="DM123" s="299"/>
      <c r="DN123" s="299"/>
      <c r="DO123" s="299"/>
      <c r="DP123" s="299"/>
      <c r="DQ123" s="299"/>
      <c r="DR123" s="299"/>
      <c r="DS123" s="298"/>
      <c r="DT123" s="298"/>
      <c r="DU123" s="298"/>
      <c r="DV123" s="298"/>
      <c r="DW123" s="298"/>
      <c r="DX123" s="298"/>
      <c r="DY123" s="298"/>
      <c r="DZ123" s="298"/>
      <c r="EA123" s="298"/>
      <c r="EB123" s="298"/>
      <c r="EC123" s="298"/>
      <c r="ED123" s="298"/>
      <c r="EE123" s="298"/>
      <c r="EF123" s="298"/>
      <c r="EG123" s="298"/>
    </row>
    <row r="124" spans="1:137" ht="11.75" customHeight="1" x14ac:dyDescent="0.15">
      <c r="AW124" s="298"/>
      <c r="AX124" s="298"/>
      <c r="AY124" s="298"/>
      <c r="AZ124" s="298"/>
      <c r="BA124" s="298"/>
      <c r="BB124" s="298"/>
      <c r="BC124" s="298"/>
      <c r="BD124" s="298"/>
      <c r="BE124" s="298"/>
      <c r="BF124" s="298"/>
      <c r="BG124" s="298"/>
      <c r="BH124" s="298"/>
      <c r="BI124" s="298"/>
      <c r="BJ124" s="298"/>
      <c r="BK124" s="298"/>
      <c r="BL124" s="298"/>
      <c r="BM124" s="298"/>
      <c r="BN124" s="298"/>
      <c r="BO124" s="298"/>
      <c r="BP124" s="298"/>
      <c r="BQ124" s="298"/>
      <c r="BR124" s="298"/>
      <c r="BS124" s="298"/>
      <c r="BT124" s="298"/>
      <c r="BU124" s="298"/>
      <c r="BV124" s="298"/>
      <c r="BW124" s="298"/>
      <c r="BX124" s="299"/>
      <c r="BY124" s="299"/>
      <c r="BZ124" s="299"/>
      <c r="CA124" s="299"/>
      <c r="CB124" s="299"/>
      <c r="CC124" s="299"/>
      <c r="CD124" s="299"/>
      <c r="CE124" s="299"/>
      <c r="CF124" s="299"/>
      <c r="CG124" s="299"/>
      <c r="CH124" s="299"/>
      <c r="CI124" s="299"/>
      <c r="CJ124" s="299"/>
      <c r="CK124" s="299"/>
      <c r="CL124" s="299"/>
      <c r="CM124" s="299"/>
      <c r="CN124" s="299"/>
      <c r="CO124" s="299"/>
      <c r="CP124" s="299"/>
      <c r="CQ124" s="299"/>
      <c r="CR124" s="299"/>
      <c r="CS124" s="299"/>
      <c r="CT124" s="299"/>
      <c r="CU124" s="299"/>
      <c r="CV124" s="299"/>
      <c r="CW124" s="299"/>
      <c r="CX124" s="299"/>
      <c r="CY124" s="299"/>
      <c r="CZ124" s="299"/>
      <c r="DA124" s="299"/>
      <c r="DB124" s="299"/>
      <c r="DC124" s="299"/>
      <c r="DD124" s="299"/>
      <c r="DE124" s="299"/>
      <c r="DF124" s="299"/>
      <c r="DG124" s="299"/>
      <c r="DH124" s="299"/>
      <c r="DI124" s="299"/>
      <c r="DJ124" s="299"/>
      <c r="DK124" s="299"/>
      <c r="DL124" s="299"/>
      <c r="DM124" s="299"/>
      <c r="DN124" s="299"/>
      <c r="DO124" s="299"/>
      <c r="DP124" s="299"/>
      <c r="DQ124" s="299"/>
      <c r="DR124" s="299"/>
      <c r="DS124" s="298"/>
      <c r="DT124" s="298"/>
      <c r="DU124" s="298"/>
      <c r="DV124" s="298"/>
      <c r="DW124" s="298"/>
      <c r="DX124" s="298"/>
      <c r="DY124" s="298"/>
      <c r="DZ124" s="298"/>
      <c r="EA124" s="298"/>
      <c r="EB124" s="298"/>
      <c r="EC124" s="298"/>
      <c r="ED124" s="298"/>
      <c r="EE124" s="298"/>
      <c r="EF124" s="298"/>
      <c r="EG124" s="298"/>
    </row>
    <row r="125" spans="1:137" ht="11.75" customHeight="1" x14ac:dyDescent="0.15">
      <c r="AW125" s="298"/>
      <c r="AX125" s="298"/>
      <c r="AY125" s="298"/>
      <c r="AZ125" s="298"/>
      <c r="BA125" s="298"/>
      <c r="BB125" s="298"/>
      <c r="BC125" s="298"/>
      <c r="BD125" s="298"/>
      <c r="BE125" s="298"/>
      <c r="BF125" s="298"/>
      <c r="BG125" s="298"/>
      <c r="BH125" s="298"/>
      <c r="BI125" s="298"/>
      <c r="BJ125" s="298"/>
      <c r="BK125" s="298"/>
      <c r="BL125" s="298"/>
      <c r="BM125" s="298"/>
      <c r="BN125" s="298"/>
      <c r="BO125" s="298"/>
      <c r="BP125" s="298"/>
      <c r="BQ125" s="298"/>
      <c r="BR125" s="298"/>
      <c r="BS125" s="298"/>
      <c r="BT125" s="298"/>
      <c r="BU125" s="298"/>
      <c r="BV125" s="298"/>
      <c r="BW125" s="298"/>
      <c r="BX125" s="299"/>
      <c r="BY125" s="299"/>
      <c r="BZ125" s="299"/>
      <c r="CA125" s="299"/>
      <c r="CB125" s="299"/>
      <c r="CC125" s="299"/>
      <c r="CD125" s="299"/>
      <c r="CE125" s="299"/>
      <c r="CF125" s="299"/>
      <c r="CG125" s="299"/>
      <c r="CH125" s="299"/>
      <c r="CI125" s="299"/>
      <c r="CJ125" s="299"/>
      <c r="CK125" s="299"/>
      <c r="CL125" s="299"/>
      <c r="CM125" s="299"/>
      <c r="CN125" s="299"/>
      <c r="CO125" s="299"/>
      <c r="CP125" s="299"/>
      <c r="CQ125" s="299"/>
      <c r="CR125" s="299"/>
      <c r="CS125" s="299"/>
      <c r="CT125" s="299"/>
      <c r="CU125" s="299"/>
      <c r="CV125" s="299"/>
      <c r="CW125" s="299"/>
      <c r="CX125" s="299"/>
      <c r="CY125" s="299"/>
      <c r="CZ125" s="299"/>
      <c r="DA125" s="299"/>
      <c r="DB125" s="299"/>
      <c r="DC125" s="299"/>
      <c r="DD125" s="299"/>
      <c r="DE125" s="299"/>
      <c r="DF125" s="299"/>
      <c r="DG125" s="299"/>
      <c r="DH125" s="299"/>
      <c r="DI125" s="299"/>
      <c r="DJ125" s="299"/>
      <c r="DK125" s="299"/>
      <c r="DL125" s="299"/>
      <c r="DM125" s="299"/>
      <c r="DN125" s="299"/>
      <c r="DO125" s="299"/>
      <c r="DP125" s="299"/>
      <c r="DQ125" s="299"/>
      <c r="DR125" s="299"/>
      <c r="DS125" s="298"/>
      <c r="DT125" s="298"/>
      <c r="DU125" s="298"/>
      <c r="DV125" s="298"/>
      <c r="DW125" s="298"/>
      <c r="DX125" s="298"/>
      <c r="DY125" s="298"/>
      <c r="DZ125" s="298"/>
      <c r="EA125" s="298"/>
      <c r="EB125" s="298"/>
      <c r="EC125" s="298"/>
      <c r="ED125" s="298"/>
      <c r="EE125" s="298"/>
      <c r="EF125" s="298"/>
      <c r="EG125" s="298"/>
    </row>
    <row r="126" spans="1:137" ht="11.75" customHeight="1" x14ac:dyDescent="0.15">
      <c r="AW126" s="298"/>
      <c r="AX126" s="298"/>
      <c r="AY126" s="298"/>
      <c r="AZ126" s="298"/>
      <c r="BA126" s="298"/>
      <c r="BB126" s="298"/>
      <c r="BC126" s="298"/>
      <c r="BD126" s="298"/>
      <c r="BE126" s="298"/>
      <c r="BF126" s="298"/>
      <c r="BG126" s="298"/>
      <c r="BH126" s="298"/>
      <c r="BI126" s="298"/>
      <c r="BJ126" s="298"/>
      <c r="BK126" s="298"/>
      <c r="BL126" s="298"/>
      <c r="BM126" s="298"/>
      <c r="BN126" s="298"/>
      <c r="BO126" s="298"/>
      <c r="BP126" s="298"/>
      <c r="BQ126" s="298"/>
      <c r="BR126" s="298"/>
      <c r="BS126" s="298"/>
      <c r="BT126" s="298"/>
      <c r="BU126" s="298"/>
      <c r="BV126" s="298"/>
      <c r="BW126" s="298"/>
      <c r="BX126" s="299"/>
      <c r="BY126" s="299"/>
      <c r="BZ126" s="299"/>
      <c r="CA126" s="299"/>
      <c r="CB126" s="299"/>
      <c r="CC126" s="299"/>
      <c r="CD126" s="299"/>
      <c r="CE126" s="299"/>
      <c r="CF126" s="299"/>
      <c r="CG126" s="299"/>
      <c r="CH126" s="299"/>
      <c r="CI126" s="299"/>
      <c r="CJ126" s="299"/>
      <c r="CK126" s="299"/>
      <c r="CL126" s="299"/>
      <c r="CM126" s="299"/>
      <c r="CN126" s="299"/>
      <c r="CO126" s="299"/>
      <c r="CP126" s="299"/>
      <c r="CQ126" s="299"/>
      <c r="CR126" s="299"/>
      <c r="CS126" s="299"/>
      <c r="CT126" s="299"/>
      <c r="CU126" s="299"/>
      <c r="CV126" s="299"/>
      <c r="CW126" s="299"/>
      <c r="CX126" s="299"/>
      <c r="CY126" s="299"/>
      <c r="CZ126" s="299"/>
      <c r="DA126" s="299"/>
      <c r="DB126" s="299"/>
      <c r="DC126" s="299"/>
      <c r="DD126" s="299"/>
      <c r="DE126" s="299"/>
      <c r="DF126" s="299"/>
      <c r="DG126" s="299"/>
      <c r="DH126" s="299"/>
      <c r="DI126" s="299"/>
      <c r="DJ126" s="299"/>
      <c r="DK126" s="299"/>
      <c r="DL126" s="299"/>
      <c r="DM126" s="299"/>
      <c r="DN126" s="299"/>
      <c r="DO126" s="299"/>
      <c r="DP126" s="299"/>
      <c r="DQ126" s="299"/>
      <c r="DR126" s="299"/>
      <c r="DS126" s="298"/>
      <c r="DT126" s="298"/>
      <c r="DU126" s="298"/>
      <c r="DV126" s="298"/>
      <c r="DW126" s="298"/>
      <c r="DX126" s="298"/>
      <c r="DY126" s="298"/>
      <c r="DZ126" s="298"/>
      <c r="EA126" s="298"/>
      <c r="EB126" s="298"/>
      <c r="EC126" s="298"/>
      <c r="ED126" s="298"/>
      <c r="EE126" s="298"/>
      <c r="EF126" s="298"/>
      <c r="EG126" s="298"/>
    </row>
    <row r="127" spans="1:137" ht="11.75" customHeight="1" x14ac:dyDescent="0.15">
      <c r="AW127" s="298"/>
      <c r="AX127" s="298"/>
      <c r="AY127" s="298"/>
      <c r="AZ127" s="298"/>
      <c r="BA127" s="298"/>
      <c r="BB127" s="298"/>
      <c r="BC127" s="298"/>
      <c r="BD127" s="298"/>
      <c r="BE127" s="298"/>
      <c r="BF127" s="298"/>
      <c r="BG127" s="298"/>
      <c r="BH127" s="298"/>
      <c r="BI127" s="298"/>
      <c r="BJ127" s="298"/>
      <c r="BK127" s="298"/>
      <c r="BL127" s="298"/>
      <c r="BM127" s="298"/>
      <c r="BN127" s="298"/>
      <c r="BO127" s="298"/>
      <c r="BP127" s="298"/>
      <c r="BQ127" s="298"/>
      <c r="BR127" s="298"/>
      <c r="BS127" s="298"/>
      <c r="BT127" s="298"/>
      <c r="BU127" s="298"/>
      <c r="BV127" s="298"/>
      <c r="BW127" s="298"/>
      <c r="BX127" s="299"/>
      <c r="BY127" s="299"/>
      <c r="BZ127" s="299"/>
      <c r="CA127" s="299"/>
      <c r="CB127" s="299"/>
      <c r="CC127" s="299"/>
      <c r="CD127" s="299"/>
      <c r="CE127" s="299"/>
      <c r="CF127" s="299"/>
      <c r="CG127" s="299"/>
      <c r="CH127" s="299"/>
      <c r="CI127" s="299"/>
      <c r="CJ127" s="299"/>
      <c r="CK127" s="299"/>
      <c r="CL127" s="299"/>
      <c r="CM127" s="299"/>
      <c r="CN127" s="299"/>
      <c r="CO127" s="299"/>
      <c r="CP127" s="299"/>
      <c r="CQ127" s="299"/>
      <c r="CR127" s="299"/>
      <c r="CS127" s="299"/>
      <c r="CT127" s="299"/>
      <c r="CU127" s="299"/>
      <c r="CV127" s="299"/>
      <c r="CW127" s="299"/>
      <c r="CX127" s="299"/>
      <c r="CY127" s="299"/>
      <c r="CZ127" s="299"/>
      <c r="DA127" s="299"/>
      <c r="DB127" s="299"/>
      <c r="DC127" s="299"/>
      <c r="DD127" s="299"/>
      <c r="DE127" s="299"/>
      <c r="DF127" s="299"/>
      <c r="DG127" s="299"/>
      <c r="DH127" s="299"/>
      <c r="DI127" s="299"/>
      <c r="DJ127" s="299"/>
      <c r="DK127" s="299"/>
      <c r="DL127" s="299"/>
      <c r="DM127" s="299"/>
      <c r="DN127" s="299"/>
      <c r="DO127" s="299"/>
      <c r="DP127" s="299"/>
      <c r="DQ127" s="299"/>
      <c r="DR127" s="299"/>
      <c r="DS127" s="298"/>
      <c r="DT127" s="298"/>
      <c r="DU127" s="298"/>
      <c r="DV127" s="298"/>
      <c r="DW127" s="298"/>
      <c r="DX127" s="298"/>
      <c r="DY127" s="298"/>
      <c r="DZ127" s="298"/>
      <c r="EA127" s="298"/>
      <c r="EB127" s="298"/>
      <c r="EC127" s="298"/>
      <c r="ED127" s="298"/>
      <c r="EE127" s="298"/>
      <c r="EF127" s="298"/>
      <c r="EG127" s="298"/>
    </row>
    <row r="128" spans="1:137" ht="11.75" customHeight="1" x14ac:dyDescent="0.15">
      <c r="AW128" s="298"/>
      <c r="AX128" s="298"/>
      <c r="AY128" s="298"/>
      <c r="AZ128" s="298"/>
      <c r="BA128" s="298"/>
      <c r="BB128" s="298"/>
      <c r="BC128" s="298"/>
      <c r="BD128" s="298"/>
      <c r="BE128" s="298"/>
      <c r="BF128" s="298"/>
      <c r="BG128" s="298"/>
      <c r="BH128" s="298"/>
      <c r="BI128" s="298"/>
      <c r="BJ128" s="298"/>
      <c r="BK128" s="298"/>
      <c r="BL128" s="298"/>
      <c r="BM128" s="298"/>
      <c r="BN128" s="298"/>
      <c r="BO128" s="298"/>
      <c r="BP128" s="298"/>
      <c r="BQ128" s="298"/>
      <c r="BR128" s="298"/>
      <c r="BS128" s="298"/>
      <c r="BT128" s="298"/>
      <c r="BU128" s="298"/>
      <c r="BV128" s="298"/>
      <c r="BW128" s="298"/>
      <c r="BX128" s="299"/>
      <c r="BY128" s="299"/>
      <c r="BZ128" s="299"/>
      <c r="CA128" s="299"/>
      <c r="CB128" s="299"/>
      <c r="CC128" s="299"/>
      <c r="CD128" s="299"/>
      <c r="CE128" s="299"/>
      <c r="CF128" s="299"/>
      <c r="CG128" s="299"/>
      <c r="CH128" s="299"/>
      <c r="CI128" s="299"/>
      <c r="CJ128" s="299"/>
      <c r="CK128" s="299"/>
      <c r="CL128" s="299"/>
      <c r="CM128" s="299"/>
      <c r="CN128" s="299"/>
      <c r="CO128" s="299"/>
      <c r="CP128" s="299"/>
      <c r="CQ128" s="299"/>
      <c r="CR128" s="299"/>
      <c r="CS128" s="299"/>
      <c r="CT128" s="299"/>
      <c r="CU128" s="299"/>
      <c r="CV128" s="299"/>
      <c r="CW128" s="299"/>
      <c r="CX128" s="299"/>
      <c r="CY128" s="299"/>
      <c r="CZ128" s="299"/>
      <c r="DA128" s="299"/>
      <c r="DB128" s="299"/>
      <c r="DC128" s="299"/>
      <c r="DD128" s="299"/>
      <c r="DE128" s="299"/>
      <c r="DF128" s="299"/>
      <c r="DG128" s="299"/>
      <c r="DH128" s="299"/>
      <c r="DI128" s="299"/>
      <c r="DJ128" s="299"/>
      <c r="DK128" s="299"/>
      <c r="DL128" s="299"/>
      <c r="DM128" s="299"/>
      <c r="DN128" s="299"/>
      <c r="DO128" s="299"/>
      <c r="DP128" s="299"/>
      <c r="DQ128" s="299"/>
      <c r="DR128" s="299"/>
      <c r="DS128" s="298"/>
      <c r="DT128" s="298"/>
      <c r="DU128" s="298"/>
      <c r="DV128" s="298"/>
      <c r="DW128" s="298"/>
      <c r="DX128" s="298"/>
      <c r="DY128" s="298"/>
      <c r="DZ128" s="298"/>
      <c r="EA128" s="298"/>
      <c r="EB128" s="298"/>
      <c r="EC128" s="298"/>
      <c r="ED128" s="298"/>
      <c r="EE128" s="298"/>
      <c r="EF128" s="298"/>
      <c r="EG128" s="298"/>
    </row>
    <row r="129" spans="49:137" ht="11.75" customHeight="1" x14ac:dyDescent="0.15">
      <c r="AW129" s="298"/>
      <c r="AX129" s="298"/>
      <c r="AY129" s="298"/>
      <c r="AZ129" s="298"/>
      <c r="BA129" s="298"/>
      <c r="BB129" s="298"/>
      <c r="BC129" s="298"/>
      <c r="BD129" s="298"/>
      <c r="BE129" s="298"/>
      <c r="BF129" s="298"/>
      <c r="BG129" s="298"/>
      <c r="BH129" s="298"/>
      <c r="BI129" s="298"/>
      <c r="BJ129" s="298"/>
      <c r="BK129" s="298"/>
      <c r="BL129" s="298"/>
      <c r="BM129" s="298"/>
      <c r="BN129" s="298"/>
      <c r="BO129" s="298"/>
      <c r="BP129" s="298"/>
      <c r="BQ129" s="298"/>
      <c r="BR129" s="298"/>
      <c r="BS129" s="298"/>
      <c r="BT129" s="298"/>
      <c r="BU129" s="298"/>
      <c r="BV129" s="298"/>
      <c r="BW129" s="298"/>
      <c r="BX129" s="299"/>
      <c r="BY129" s="299"/>
      <c r="BZ129" s="299"/>
      <c r="CA129" s="299"/>
      <c r="CB129" s="299"/>
      <c r="CC129" s="299"/>
      <c r="CD129" s="299"/>
      <c r="CE129" s="299"/>
      <c r="CF129" s="299"/>
      <c r="CG129" s="299"/>
      <c r="CH129" s="299"/>
      <c r="CI129" s="299"/>
      <c r="CJ129" s="299"/>
      <c r="CK129" s="299"/>
      <c r="CL129" s="299"/>
      <c r="CM129" s="299"/>
      <c r="CN129" s="299"/>
      <c r="CO129" s="299"/>
      <c r="CP129" s="299"/>
      <c r="CQ129" s="299"/>
      <c r="CR129" s="299"/>
      <c r="CS129" s="299"/>
      <c r="CT129" s="299"/>
      <c r="CU129" s="299"/>
      <c r="CV129" s="299"/>
      <c r="CW129" s="299"/>
      <c r="CX129" s="299"/>
      <c r="CY129" s="299"/>
      <c r="CZ129" s="299"/>
      <c r="DA129" s="299"/>
      <c r="DB129" s="299"/>
      <c r="DC129" s="299"/>
      <c r="DD129" s="299"/>
      <c r="DE129" s="299"/>
      <c r="DF129" s="299"/>
      <c r="DG129" s="299"/>
      <c r="DH129" s="299"/>
      <c r="DI129" s="299"/>
      <c r="DJ129" s="299"/>
      <c r="DK129" s="299"/>
      <c r="DL129" s="299"/>
      <c r="DM129" s="299"/>
      <c r="DN129" s="299"/>
      <c r="DO129" s="299"/>
      <c r="DP129" s="299"/>
      <c r="DQ129" s="299"/>
      <c r="DR129" s="299"/>
      <c r="DS129" s="298"/>
      <c r="DT129" s="298"/>
      <c r="DU129" s="298"/>
      <c r="DV129" s="298"/>
      <c r="DW129" s="298"/>
      <c r="DX129" s="298"/>
      <c r="DY129" s="298"/>
      <c r="DZ129" s="298"/>
      <c r="EA129" s="298"/>
      <c r="EB129" s="298"/>
      <c r="EC129" s="298"/>
      <c r="ED129" s="298"/>
      <c r="EE129" s="298"/>
      <c r="EF129" s="298"/>
      <c r="EG129" s="298"/>
    </row>
    <row r="130" spans="49:137" ht="11.75" customHeight="1" x14ac:dyDescent="0.15">
      <c r="AW130" s="298"/>
      <c r="AX130" s="298"/>
      <c r="AY130" s="298"/>
      <c r="AZ130" s="298"/>
      <c r="BA130" s="298"/>
      <c r="BB130" s="298"/>
      <c r="BC130" s="298"/>
      <c r="BD130" s="298"/>
      <c r="BE130" s="298"/>
      <c r="BF130" s="298"/>
      <c r="BG130" s="298"/>
      <c r="BH130" s="298"/>
      <c r="BI130" s="298"/>
      <c r="BJ130" s="298"/>
      <c r="BK130" s="298"/>
      <c r="BL130" s="298"/>
      <c r="BM130" s="298"/>
      <c r="BN130" s="298"/>
      <c r="BO130" s="298"/>
      <c r="BP130" s="298"/>
      <c r="BQ130" s="298"/>
      <c r="BR130" s="298"/>
      <c r="BS130" s="298"/>
      <c r="BT130" s="298"/>
      <c r="BU130" s="298"/>
      <c r="BV130" s="298"/>
      <c r="BW130" s="298"/>
      <c r="BX130" s="299"/>
      <c r="BY130" s="299"/>
      <c r="BZ130" s="299"/>
      <c r="CA130" s="299"/>
      <c r="CB130" s="299"/>
      <c r="CC130" s="299"/>
      <c r="CD130" s="299"/>
      <c r="CE130" s="299"/>
      <c r="CF130" s="299"/>
      <c r="CG130" s="299"/>
      <c r="CH130" s="299"/>
      <c r="CI130" s="299"/>
      <c r="CJ130" s="299"/>
      <c r="CK130" s="299"/>
      <c r="CL130" s="299"/>
      <c r="CM130" s="299"/>
      <c r="CN130" s="299"/>
      <c r="CO130" s="299"/>
      <c r="CP130" s="299"/>
      <c r="CQ130" s="299"/>
      <c r="CR130" s="299"/>
      <c r="CS130" s="299"/>
      <c r="CT130" s="299"/>
      <c r="CU130" s="299"/>
      <c r="CV130" s="299"/>
      <c r="CW130" s="299"/>
      <c r="CX130" s="299"/>
      <c r="CY130" s="299"/>
      <c r="CZ130" s="299"/>
      <c r="DA130" s="299"/>
      <c r="DB130" s="299"/>
      <c r="DC130" s="299"/>
      <c r="DD130" s="299"/>
      <c r="DE130" s="299"/>
      <c r="DF130" s="299"/>
      <c r="DG130" s="299"/>
      <c r="DH130" s="299"/>
      <c r="DI130" s="299"/>
      <c r="DJ130" s="299"/>
      <c r="DK130" s="299"/>
      <c r="DL130" s="299"/>
      <c r="DM130" s="299"/>
      <c r="DN130" s="299"/>
      <c r="DO130" s="299"/>
      <c r="DP130" s="299"/>
      <c r="DQ130" s="299"/>
      <c r="DR130" s="299"/>
      <c r="DS130" s="298"/>
      <c r="DT130" s="298"/>
      <c r="DU130" s="298"/>
      <c r="DV130" s="298"/>
      <c r="DW130" s="298"/>
      <c r="DX130" s="298"/>
      <c r="DY130" s="298"/>
      <c r="DZ130" s="298"/>
      <c r="EA130" s="298"/>
      <c r="EB130" s="298"/>
      <c r="EC130" s="298"/>
      <c r="ED130" s="298"/>
      <c r="EE130" s="298"/>
      <c r="EF130" s="298"/>
      <c r="EG130" s="298"/>
    </row>
    <row r="131" spans="49:137" ht="11.75" customHeight="1" x14ac:dyDescent="0.15">
      <c r="AW131" s="298"/>
      <c r="AX131" s="298"/>
      <c r="AY131" s="298"/>
      <c r="AZ131" s="298"/>
      <c r="BA131" s="298"/>
      <c r="BB131" s="298"/>
      <c r="BC131" s="298"/>
      <c r="BD131" s="298"/>
      <c r="BE131" s="298"/>
      <c r="BF131" s="298"/>
      <c r="BG131" s="298"/>
      <c r="BH131" s="298"/>
      <c r="BI131" s="298"/>
      <c r="BJ131" s="298"/>
      <c r="BK131" s="298"/>
      <c r="BL131" s="298"/>
      <c r="BM131" s="298"/>
      <c r="BN131" s="298"/>
      <c r="BO131" s="298"/>
      <c r="BP131" s="298"/>
      <c r="BQ131" s="298"/>
      <c r="BR131" s="298"/>
      <c r="BS131" s="298"/>
      <c r="BT131" s="298"/>
      <c r="BU131" s="298"/>
      <c r="BV131" s="298"/>
      <c r="BW131" s="298"/>
      <c r="BX131" s="299"/>
      <c r="BY131" s="299"/>
      <c r="BZ131" s="299"/>
      <c r="CA131" s="299"/>
      <c r="CB131" s="299"/>
      <c r="CC131" s="299"/>
      <c r="CD131" s="299"/>
      <c r="CE131" s="299"/>
      <c r="CF131" s="299"/>
      <c r="CG131" s="299"/>
      <c r="CH131" s="299"/>
      <c r="CI131" s="299"/>
      <c r="CJ131" s="299"/>
      <c r="CK131" s="299"/>
      <c r="CL131" s="299"/>
      <c r="CM131" s="299"/>
      <c r="CN131" s="299"/>
      <c r="CO131" s="299"/>
      <c r="CP131" s="299"/>
      <c r="CQ131" s="299"/>
      <c r="CR131" s="299"/>
      <c r="CS131" s="299"/>
      <c r="CT131" s="299"/>
      <c r="CU131" s="299"/>
      <c r="CV131" s="299"/>
      <c r="CW131" s="299"/>
      <c r="CX131" s="299"/>
      <c r="CY131" s="299"/>
      <c r="CZ131" s="299"/>
      <c r="DA131" s="299"/>
      <c r="DB131" s="299"/>
      <c r="DC131" s="299"/>
      <c r="DD131" s="299"/>
      <c r="DE131" s="299"/>
      <c r="DF131" s="299"/>
      <c r="DG131" s="299"/>
      <c r="DH131" s="299"/>
      <c r="DI131" s="299"/>
      <c r="DJ131" s="299"/>
      <c r="DK131" s="299"/>
      <c r="DL131" s="299"/>
      <c r="DM131" s="299"/>
      <c r="DN131" s="299"/>
      <c r="DO131" s="299"/>
      <c r="DP131" s="299"/>
      <c r="DQ131" s="299"/>
      <c r="DR131" s="299"/>
      <c r="DS131" s="298"/>
      <c r="DT131" s="298"/>
      <c r="DU131" s="298"/>
      <c r="DV131" s="298"/>
      <c r="DW131" s="298"/>
      <c r="DX131" s="298"/>
      <c r="DY131" s="298"/>
      <c r="DZ131" s="298"/>
      <c r="EA131" s="298"/>
      <c r="EB131" s="298"/>
      <c r="EC131" s="298"/>
      <c r="ED131" s="298"/>
      <c r="EE131" s="298"/>
      <c r="EF131" s="298"/>
      <c r="EG131" s="298"/>
    </row>
    <row r="132" spans="49:137" ht="11.75" customHeight="1" x14ac:dyDescent="0.15">
      <c r="AW132" s="298"/>
      <c r="AX132" s="298"/>
      <c r="AY132" s="298"/>
      <c r="AZ132" s="298"/>
      <c r="BA132" s="298"/>
      <c r="BB132" s="298"/>
      <c r="BC132" s="298"/>
      <c r="BD132" s="298"/>
      <c r="BE132" s="298"/>
      <c r="BF132" s="298"/>
      <c r="BG132" s="298"/>
      <c r="BH132" s="298"/>
      <c r="BI132" s="298"/>
      <c r="BJ132" s="298"/>
      <c r="BK132" s="298"/>
      <c r="BL132" s="298"/>
      <c r="BM132" s="298"/>
      <c r="BN132" s="298"/>
      <c r="BO132" s="298"/>
      <c r="BP132" s="298"/>
      <c r="BQ132" s="298"/>
      <c r="BR132" s="298"/>
      <c r="BS132" s="298"/>
      <c r="BT132" s="298"/>
      <c r="BU132" s="298"/>
      <c r="BV132" s="298"/>
      <c r="BW132" s="298"/>
      <c r="BX132" s="299"/>
      <c r="BY132" s="299"/>
      <c r="BZ132" s="299"/>
      <c r="CA132" s="299"/>
      <c r="CB132" s="299"/>
      <c r="CC132" s="299"/>
      <c r="CD132" s="299"/>
      <c r="CE132" s="299"/>
      <c r="CF132" s="299"/>
      <c r="CG132" s="299"/>
      <c r="CH132" s="299"/>
      <c r="CI132" s="299"/>
      <c r="CJ132" s="299"/>
      <c r="CK132" s="299"/>
      <c r="CL132" s="299"/>
      <c r="CM132" s="299"/>
      <c r="CN132" s="299"/>
      <c r="CO132" s="299"/>
      <c r="CP132" s="299"/>
      <c r="CQ132" s="299"/>
      <c r="CR132" s="299"/>
      <c r="CS132" s="299"/>
      <c r="CT132" s="299"/>
      <c r="CU132" s="299"/>
      <c r="CV132" s="299"/>
      <c r="CW132" s="299"/>
      <c r="CX132" s="299"/>
      <c r="CY132" s="299"/>
      <c r="CZ132" s="299"/>
      <c r="DA132" s="299"/>
      <c r="DB132" s="299"/>
      <c r="DC132" s="299"/>
      <c r="DD132" s="299"/>
      <c r="DE132" s="299"/>
      <c r="DF132" s="299"/>
      <c r="DG132" s="299"/>
      <c r="DH132" s="299"/>
      <c r="DI132" s="299"/>
      <c r="DJ132" s="299"/>
      <c r="DK132" s="299"/>
      <c r="DL132" s="299"/>
      <c r="DM132" s="299"/>
      <c r="DN132" s="299"/>
      <c r="DO132" s="299"/>
      <c r="DP132" s="299"/>
      <c r="DQ132" s="299"/>
      <c r="DR132" s="299"/>
      <c r="DS132" s="298"/>
      <c r="DT132" s="298"/>
      <c r="DU132" s="298"/>
      <c r="DV132" s="298"/>
      <c r="DW132" s="298"/>
      <c r="DX132" s="298"/>
      <c r="DY132" s="298"/>
      <c r="DZ132" s="298"/>
      <c r="EA132" s="298"/>
      <c r="EB132" s="298"/>
      <c r="EC132" s="298"/>
      <c r="ED132" s="298"/>
      <c r="EE132" s="298"/>
      <c r="EF132" s="298"/>
      <c r="EG132" s="298"/>
    </row>
    <row r="133" spans="49:137" ht="11.75" customHeight="1" x14ac:dyDescent="0.15">
      <c r="AW133" s="298"/>
      <c r="AX133" s="298"/>
      <c r="AY133" s="298"/>
      <c r="AZ133" s="298"/>
      <c r="BA133" s="298"/>
      <c r="BB133" s="298"/>
      <c r="BC133" s="298"/>
      <c r="BD133" s="298"/>
      <c r="BE133" s="298"/>
      <c r="BF133" s="298"/>
      <c r="BG133" s="298"/>
      <c r="BH133" s="298"/>
      <c r="BI133" s="298"/>
      <c r="BJ133" s="298"/>
      <c r="BK133" s="298"/>
      <c r="BL133" s="298"/>
      <c r="BM133" s="298"/>
      <c r="BN133" s="298"/>
      <c r="BO133" s="298"/>
      <c r="BP133" s="298"/>
      <c r="BQ133" s="298"/>
      <c r="BR133" s="298"/>
      <c r="BS133" s="298"/>
      <c r="BT133" s="298"/>
      <c r="BU133" s="298"/>
      <c r="BV133" s="298"/>
      <c r="BW133" s="298"/>
      <c r="BX133" s="299"/>
      <c r="BY133" s="299"/>
      <c r="BZ133" s="299"/>
      <c r="CA133" s="299"/>
      <c r="CB133" s="299"/>
      <c r="CC133" s="299"/>
      <c r="CD133" s="299"/>
      <c r="CE133" s="299"/>
      <c r="CF133" s="299"/>
      <c r="CG133" s="299"/>
      <c r="CH133" s="299"/>
      <c r="CI133" s="299"/>
      <c r="CJ133" s="299"/>
      <c r="CK133" s="299"/>
      <c r="CL133" s="299"/>
      <c r="CM133" s="299"/>
      <c r="CN133" s="299"/>
      <c r="CO133" s="299"/>
      <c r="CP133" s="299"/>
      <c r="CQ133" s="299"/>
      <c r="CR133" s="299"/>
      <c r="CS133" s="299"/>
      <c r="CT133" s="299"/>
      <c r="CU133" s="299"/>
      <c r="CV133" s="299"/>
      <c r="CW133" s="299"/>
      <c r="CX133" s="299"/>
      <c r="CY133" s="299"/>
      <c r="CZ133" s="299"/>
      <c r="DA133" s="299"/>
      <c r="DB133" s="299"/>
      <c r="DC133" s="299"/>
      <c r="DD133" s="299"/>
      <c r="DE133" s="299"/>
      <c r="DF133" s="299"/>
      <c r="DG133" s="299"/>
      <c r="DH133" s="299"/>
      <c r="DI133" s="299"/>
      <c r="DJ133" s="299"/>
      <c r="DK133" s="299"/>
      <c r="DL133" s="299"/>
      <c r="DM133" s="299"/>
      <c r="DN133" s="299"/>
      <c r="DO133" s="299"/>
      <c r="DP133" s="299"/>
      <c r="DQ133" s="299"/>
      <c r="DR133" s="299"/>
      <c r="DS133" s="298"/>
      <c r="DT133" s="298"/>
      <c r="DU133" s="298"/>
      <c r="DV133" s="298"/>
      <c r="DW133" s="298"/>
      <c r="DX133" s="298"/>
      <c r="DY133" s="298"/>
      <c r="DZ133" s="298"/>
      <c r="EA133" s="298"/>
      <c r="EB133" s="298"/>
      <c r="EC133" s="298"/>
      <c r="ED133" s="298"/>
      <c r="EE133" s="298"/>
      <c r="EF133" s="298"/>
      <c r="EG133" s="298"/>
    </row>
    <row r="134" spans="49:137" ht="11.75" customHeight="1" x14ac:dyDescent="0.15">
      <c r="AW134" s="298"/>
      <c r="AX134" s="298"/>
      <c r="AY134" s="298"/>
      <c r="AZ134" s="298"/>
      <c r="BA134" s="298"/>
      <c r="BB134" s="298"/>
      <c r="BC134" s="298"/>
      <c r="BD134" s="298"/>
      <c r="BE134" s="298"/>
      <c r="BF134" s="298"/>
      <c r="BG134" s="298"/>
      <c r="BH134" s="298"/>
      <c r="BI134" s="298"/>
      <c r="BJ134" s="298"/>
      <c r="BK134" s="298"/>
      <c r="BL134" s="298"/>
      <c r="BM134" s="298"/>
      <c r="BN134" s="298"/>
      <c r="BO134" s="298"/>
      <c r="BP134" s="298"/>
      <c r="BQ134" s="298"/>
      <c r="BR134" s="298"/>
      <c r="BS134" s="298"/>
      <c r="BT134" s="298"/>
      <c r="BU134" s="298"/>
      <c r="BV134" s="298"/>
      <c r="BW134" s="298"/>
      <c r="BX134" s="299"/>
      <c r="BY134" s="299"/>
      <c r="BZ134" s="299"/>
      <c r="CA134" s="299"/>
      <c r="CB134" s="299"/>
      <c r="CC134" s="299"/>
      <c r="CD134" s="299"/>
      <c r="CE134" s="299"/>
      <c r="CF134" s="299"/>
      <c r="CG134" s="299"/>
      <c r="CH134" s="299"/>
      <c r="CI134" s="299"/>
      <c r="CJ134" s="299"/>
      <c r="CK134" s="299"/>
      <c r="CL134" s="299"/>
      <c r="CM134" s="299"/>
      <c r="CN134" s="299"/>
      <c r="CO134" s="299"/>
      <c r="CP134" s="299"/>
      <c r="CQ134" s="299"/>
      <c r="CR134" s="299"/>
      <c r="CS134" s="299"/>
      <c r="CT134" s="299"/>
      <c r="CU134" s="299"/>
      <c r="CV134" s="299"/>
      <c r="CW134" s="299"/>
      <c r="CX134" s="299"/>
      <c r="CY134" s="299"/>
      <c r="CZ134" s="299"/>
      <c r="DA134" s="299"/>
      <c r="DB134" s="299"/>
      <c r="DC134" s="299"/>
      <c r="DD134" s="299"/>
      <c r="DE134" s="299"/>
      <c r="DF134" s="299"/>
      <c r="DG134" s="299"/>
      <c r="DH134" s="299"/>
      <c r="DI134" s="299"/>
      <c r="DJ134" s="299"/>
      <c r="DK134" s="299"/>
      <c r="DL134" s="299"/>
      <c r="DM134" s="299"/>
      <c r="DN134" s="299"/>
      <c r="DO134" s="299"/>
      <c r="DP134" s="299"/>
      <c r="DQ134" s="299"/>
      <c r="DR134" s="299"/>
      <c r="DS134" s="298"/>
      <c r="DT134" s="298"/>
      <c r="DU134" s="298"/>
      <c r="DV134" s="298"/>
      <c r="DW134" s="298"/>
      <c r="DX134" s="298"/>
      <c r="DY134" s="298"/>
      <c r="DZ134" s="298"/>
      <c r="EA134" s="298"/>
      <c r="EB134" s="298"/>
      <c r="EC134" s="298"/>
      <c r="ED134" s="298"/>
      <c r="EE134" s="298"/>
      <c r="EF134" s="298"/>
      <c r="EG134" s="298"/>
    </row>
    <row r="135" spans="49:137" ht="11.75" customHeight="1" x14ac:dyDescent="0.15">
      <c r="AW135" s="298"/>
      <c r="AX135" s="298"/>
      <c r="AY135" s="298"/>
      <c r="AZ135" s="298"/>
      <c r="BA135" s="298"/>
      <c r="BB135" s="298"/>
      <c r="BC135" s="298"/>
      <c r="BD135" s="298"/>
      <c r="BE135" s="298"/>
      <c r="BF135" s="298"/>
      <c r="BG135" s="298"/>
      <c r="BH135" s="298"/>
      <c r="BI135" s="298"/>
      <c r="BJ135" s="298"/>
      <c r="BK135" s="298"/>
      <c r="BL135" s="298"/>
      <c r="BM135" s="298"/>
      <c r="BN135" s="298"/>
      <c r="BO135" s="298"/>
      <c r="BP135" s="298"/>
      <c r="BQ135" s="298"/>
      <c r="BR135" s="298"/>
      <c r="BS135" s="298"/>
      <c r="BT135" s="298"/>
      <c r="BU135" s="298"/>
      <c r="BV135" s="298"/>
      <c r="BW135" s="298"/>
      <c r="BX135" s="299"/>
      <c r="BY135" s="299"/>
      <c r="BZ135" s="299"/>
      <c r="CA135" s="299"/>
      <c r="CB135" s="299"/>
      <c r="CC135" s="299"/>
      <c r="CD135" s="299"/>
      <c r="CE135" s="299"/>
      <c r="CF135" s="299"/>
      <c r="CG135" s="299"/>
      <c r="CH135" s="299"/>
      <c r="CI135" s="299"/>
      <c r="CJ135" s="299"/>
      <c r="CK135" s="299"/>
      <c r="CL135" s="299"/>
      <c r="CM135" s="299"/>
      <c r="CN135" s="299"/>
      <c r="CO135" s="299"/>
      <c r="CP135" s="299"/>
      <c r="CQ135" s="299"/>
      <c r="CR135" s="299"/>
      <c r="CS135" s="299"/>
      <c r="CT135" s="299"/>
      <c r="CU135" s="299"/>
      <c r="CV135" s="299"/>
      <c r="CW135" s="299"/>
      <c r="CX135" s="299"/>
      <c r="CY135" s="299"/>
      <c r="CZ135" s="299"/>
      <c r="DA135" s="299"/>
      <c r="DB135" s="299"/>
      <c r="DC135" s="299"/>
      <c r="DD135" s="299"/>
      <c r="DE135" s="299"/>
      <c r="DF135" s="299"/>
      <c r="DG135" s="299"/>
      <c r="DH135" s="299"/>
      <c r="DI135" s="299"/>
      <c r="DJ135" s="299"/>
      <c r="DK135" s="299"/>
      <c r="DL135" s="299"/>
      <c r="DM135" s="299"/>
      <c r="DN135" s="299"/>
      <c r="DO135" s="299"/>
      <c r="DP135" s="299"/>
      <c r="DQ135" s="299"/>
      <c r="DR135" s="299"/>
      <c r="DS135" s="298"/>
      <c r="DT135" s="298"/>
      <c r="DU135" s="298"/>
      <c r="DV135" s="298"/>
      <c r="DW135" s="298"/>
      <c r="DX135" s="298"/>
      <c r="DY135" s="298"/>
      <c r="DZ135" s="298"/>
      <c r="EA135" s="298"/>
      <c r="EB135" s="298"/>
      <c r="EC135" s="298"/>
      <c r="ED135" s="298"/>
      <c r="EE135" s="298"/>
      <c r="EF135" s="298"/>
      <c r="EG135" s="298"/>
    </row>
    <row r="136" spans="49:137" ht="11.75" customHeight="1" x14ac:dyDescent="0.15">
      <c r="AW136" s="298"/>
      <c r="AX136" s="298"/>
      <c r="AY136" s="298"/>
      <c r="AZ136" s="298"/>
      <c r="BA136" s="298"/>
      <c r="BB136" s="298"/>
      <c r="BC136" s="298"/>
      <c r="BD136" s="298"/>
      <c r="BE136" s="298"/>
      <c r="BF136" s="298"/>
      <c r="BG136" s="298"/>
      <c r="BH136" s="298"/>
      <c r="BI136" s="298"/>
      <c r="BJ136" s="298"/>
      <c r="BK136" s="298"/>
      <c r="BL136" s="298"/>
      <c r="BM136" s="298"/>
      <c r="BN136" s="298"/>
      <c r="BO136" s="298"/>
      <c r="BP136" s="298"/>
      <c r="BQ136" s="298"/>
      <c r="BR136" s="298"/>
      <c r="BS136" s="298"/>
      <c r="BT136" s="298"/>
      <c r="BU136" s="298"/>
      <c r="BV136" s="298"/>
      <c r="BW136" s="298"/>
      <c r="BX136" s="299"/>
      <c r="BY136" s="299"/>
      <c r="BZ136" s="299"/>
      <c r="CA136" s="299"/>
      <c r="CB136" s="299"/>
      <c r="CC136" s="299"/>
      <c r="CD136" s="299"/>
      <c r="CE136" s="299"/>
      <c r="CF136" s="299"/>
      <c r="CG136" s="299"/>
      <c r="CH136" s="299"/>
      <c r="CI136" s="299"/>
      <c r="CJ136" s="299"/>
      <c r="CK136" s="299"/>
      <c r="CL136" s="299"/>
      <c r="CM136" s="299"/>
      <c r="CN136" s="299"/>
      <c r="CO136" s="299"/>
      <c r="CP136" s="299"/>
      <c r="CQ136" s="299"/>
      <c r="CR136" s="299"/>
      <c r="CS136" s="299"/>
      <c r="CT136" s="299"/>
      <c r="CU136" s="299"/>
      <c r="CV136" s="299"/>
      <c r="CW136" s="299"/>
      <c r="CX136" s="299"/>
      <c r="CY136" s="299"/>
      <c r="CZ136" s="299"/>
      <c r="DA136" s="299"/>
      <c r="DB136" s="299"/>
      <c r="DC136" s="299"/>
      <c r="DD136" s="299"/>
      <c r="DE136" s="299"/>
      <c r="DF136" s="299"/>
      <c r="DG136" s="299"/>
      <c r="DH136" s="299"/>
      <c r="DI136" s="299"/>
      <c r="DJ136" s="299"/>
      <c r="DK136" s="299"/>
      <c r="DL136" s="299"/>
      <c r="DM136" s="299"/>
      <c r="DN136" s="299"/>
      <c r="DO136" s="299"/>
      <c r="DP136" s="299"/>
      <c r="DQ136" s="299"/>
      <c r="DR136" s="299"/>
      <c r="DS136" s="298"/>
      <c r="DT136" s="298"/>
      <c r="DU136" s="298"/>
      <c r="DV136" s="298"/>
      <c r="DW136" s="298"/>
      <c r="DX136" s="298"/>
      <c r="DY136" s="298"/>
      <c r="DZ136" s="298"/>
      <c r="EA136" s="298"/>
      <c r="EB136" s="298"/>
      <c r="EC136" s="298"/>
      <c r="ED136" s="298"/>
      <c r="EE136" s="298"/>
      <c r="EF136" s="298"/>
      <c r="EG136" s="298"/>
    </row>
    <row r="137" spans="49:137" ht="11.75" customHeight="1" x14ac:dyDescent="0.15">
      <c r="AW137" s="298"/>
      <c r="AX137" s="298"/>
      <c r="AY137" s="298"/>
      <c r="AZ137" s="298"/>
      <c r="BA137" s="298"/>
      <c r="BB137" s="298"/>
      <c r="BC137" s="298"/>
      <c r="BD137" s="298"/>
      <c r="BE137" s="298"/>
      <c r="BF137" s="298"/>
      <c r="BG137" s="298"/>
      <c r="BH137" s="298"/>
      <c r="BI137" s="298"/>
      <c r="BJ137" s="298"/>
      <c r="BK137" s="298"/>
      <c r="BL137" s="298"/>
      <c r="BM137" s="298"/>
      <c r="BN137" s="298"/>
      <c r="BO137" s="298"/>
      <c r="BP137" s="298"/>
      <c r="BQ137" s="298"/>
      <c r="BR137" s="298"/>
      <c r="BS137" s="298"/>
      <c r="BT137" s="298"/>
      <c r="BU137" s="298"/>
      <c r="BV137" s="298"/>
      <c r="BW137" s="298"/>
      <c r="BX137" s="299"/>
      <c r="BY137" s="299"/>
      <c r="BZ137" s="299"/>
      <c r="CA137" s="299"/>
      <c r="CB137" s="299"/>
      <c r="CC137" s="299"/>
      <c r="CD137" s="299"/>
      <c r="CE137" s="299"/>
      <c r="CF137" s="299"/>
      <c r="CG137" s="299"/>
      <c r="CH137" s="299"/>
      <c r="CI137" s="299"/>
      <c r="CJ137" s="299"/>
      <c r="CK137" s="299"/>
      <c r="CL137" s="299"/>
      <c r="CM137" s="299"/>
      <c r="CN137" s="299"/>
      <c r="CO137" s="299"/>
      <c r="CP137" s="299"/>
      <c r="CQ137" s="299"/>
      <c r="CR137" s="299"/>
      <c r="CS137" s="299"/>
      <c r="CT137" s="299"/>
      <c r="CU137" s="299"/>
      <c r="CV137" s="299"/>
      <c r="CW137" s="299"/>
      <c r="CX137" s="299"/>
      <c r="CY137" s="299"/>
      <c r="CZ137" s="299"/>
      <c r="DA137" s="299"/>
      <c r="DB137" s="299"/>
      <c r="DC137" s="299"/>
      <c r="DD137" s="299"/>
      <c r="DE137" s="299"/>
      <c r="DF137" s="299"/>
      <c r="DG137" s="299"/>
      <c r="DH137" s="299"/>
      <c r="DI137" s="299"/>
      <c r="DJ137" s="299"/>
      <c r="DK137" s="299"/>
      <c r="DL137" s="299"/>
      <c r="DM137" s="299"/>
      <c r="DN137" s="299"/>
      <c r="DO137" s="299"/>
      <c r="DP137" s="299"/>
      <c r="DQ137" s="299"/>
      <c r="DR137" s="299"/>
      <c r="DS137" s="298"/>
      <c r="DT137" s="298"/>
      <c r="DU137" s="298"/>
      <c r="DV137" s="298"/>
      <c r="DW137" s="298"/>
      <c r="DX137" s="298"/>
      <c r="DY137" s="298"/>
      <c r="DZ137" s="298"/>
      <c r="EA137" s="298"/>
      <c r="EB137" s="298"/>
      <c r="EC137" s="298"/>
      <c r="ED137" s="298"/>
      <c r="EE137" s="298"/>
      <c r="EF137" s="298"/>
      <c r="EG137" s="298"/>
    </row>
    <row r="138" spans="49:137" ht="11.75" customHeight="1" x14ac:dyDescent="0.15">
      <c r="AW138" s="298"/>
      <c r="AX138" s="298"/>
      <c r="AY138" s="298"/>
      <c r="AZ138" s="298"/>
      <c r="BA138" s="298"/>
      <c r="BB138" s="298"/>
      <c r="BC138" s="298"/>
      <c r="BD138" s="298"/>
      <c r="BE138" s="298"/>
      <c r="BF138" s="298"/>
      <c r="BG138" s="298"/>
      <c r="BH138" s="298"/>
      <c r="BI138" s="298"/>
      <c r="BJ138" s="298"/>
      <c r="BK138" s="298"/>
      <c r="BL138" s="298"/>
      <c r="BM138" s="298"/>
      <c r="BN138" s="298"/>
      <c r="BO138" s="298"/>
      <c r="BP138" s="298"/>
      <c r="BQ138" s="298"/>
      <c r="BR138" s="298"/>
      <c r="BS138" s="298"/>
      <c r="BT138" s="298"/>
      <c r="BU138" s="298"/>
      <c r="BV138" s="298"/>
      <c r="BW138" s="298"/>
      <c r="BX138" s="299"/>
      <c r="BY138" s="299"/>
      <c r="BZ138" s="299"/>
      <c r="CA138" s="299"/>
      <c r="CB138" s="299"/>
      <c r="CC138" s="299"/>
      <c r="CD138" s="299"/>
      <c r="CE138" s="299"/>
      <c r="CF138" s="299"/>
      <c r="CG138" s="299"/>
      <c r="CH138" s="299"/>
      <c r="CI138" s="299"/>
      <c r="CJ138" s="299"/>
      <c r="CK138" s="299"/>
      <c r="CL138" s="299"/>
      <c r="CM138" s="299"/>
      <c r="CN138" s="299"/>
      <c r="CO138" s="299"/>
      <c r="CP138" s="299"/>
      <c r="CQ138" s="299"/>
      <c r="CR138" s="299"/>
      <c r="CS138" s="299"/>
      <c r="CT138" s="299"/>
      <c r="CU138" s="299"/>
      <c r="CV138" s="299"/>
      <c r="CW138" s="299"/>
      <c r="CX138" s="299"/>
      <c r="CY138" s="299"/>
      <c r="CZ138" s="299"/>
      <c r="DA138" s="299"/>
      <c r="DB138" s="299"/>
      <c r="DC138" s="299"/>
      <c r="DD138" s="299"/>
      <c r="DE138" s="299"/>
      <c r="DF138" s="299"/>
      <c r="DG138" s="299"/>
      <c r="DH138" s="299"/>
      <c r="DI138" s="299"/>
      <c r="DJ138" s="299"/>
      <c r="DK138" s="299"/>
      <c r="DL138" s="299"/>
      <c r="DM138" s="299"/>
      <c r="DN138" s="299"/>
      <c r="DO138" s="299"/>
      <c r="DP138" s="299"/>
      <c r="DQ138" s="299"/>
      <c r="DR138" s="299"/>
      <c r="DS138" s="298"/>
      <c r="DT138" s="298"/>
      <c r="DU138" s="298"/>
      <c r="DV138" s="298"/>
      <c r="DW138" s="298"/>
      <c r="DX138" s="298"/>
      <c r="DY138" s="298"/>
      <c r="DZ138" s="298"/>
      <c r="EA138" s="298"/>
      <c r="EB138" s="298"/>
      <c r="EC138" s="298"/>
      <c r="ED138" s="298"/>
      <c r="EE138" s="298"/>
      <c r="EF138" s="298"/>
      <c r="EG138" s="298"/>
    </row>
    <row r="139" spans="49:137" ht="11.75" customHeight="1" x14ac:dyDescent="0.15">
      <c r="AW139" s="298"/>
      <c r="AX139" s="298"/>
      <c r="AY139" s="298"/>
      <c r="AZ139" s="298"/>
      <c r="BA139" s="298"/>
      <c r="BB139" s="298"/>
      <c r="BC139" s="298"/>
      <c r="BD139" s="298"/>
      <c r="BE139" s="298"/>
      <c r="BF139" s="298"/>
      <c r="BG139" s="298"/>
      <c r="BH139" s="298"/>
      <c r="BI139" s="298"/>
      <c r="BJ139" s="298"/>
      <c r="BK139" s="298"/>
      <c r="BL139" s="298"/>
      <c r="BM139" s="298"/>
      <c r="BN139" s="298"/>
      <c r="BO139" s="298"/>
      <c r="BP139" s="298"/>
      <c r="BQ139" s="298"/>
      <c r="BR139" s="298"/>
      <c r="BS139" s="298"/>
      <c r="BT139" s="298"/>
      <c r="BU139" s="298"/>
      <c r="BV139" s="298"/>
      <c r="BW139" s="298"/>
      <c r="BX139" s="299"/>
      <c r="BY139" s="299"/>
      <c r="BZ139" s="299"/>
      <c r="CA139" s="299"/>
      <c r="CB139" s="299"/>
      <c r="CC139" s="299"/>
      <c r="CD139" s="299"/>
      <c r="CE139" s="299"/>
      <c r="CF139" s="299"/>
      <c r="CG139" s="299"/>
      <c r="CH139" s="299"/>
      <c r="CI139" s="299"/>
      <c r="CJ139" s="299"/>
      <c r="CK139" s="299"/>
      <c r="CL139" s="299"/>
      <c r="CM139" s="299"/>
      <c r="CN139" s="299"/>
      <c r="CO139" s="299"/>
      <c r="CP139" s="299"/>
      <c r="CQ139" s="299"/>
      <c r="CR139" s="299"/>
      <c r="CS139" s="299"/>
      <c r="CT139" s="299"/>
      <c r="CU139" s="299"/>
      <c r="CV139" s="299"/>
      <c r="CW139" s="299"/>
      <c r="CX139" s="299"/>
      <c r="CY139" s="299"/>
      <c r="CZ139" s="299"/>
      <c r="DA139" s="299"/>
      <c r="DB139" s="299"/>
      <c r="DC139" s="299"/>
      <c r="DD139" s="299"/>
      <c r="DE139" s="299"/>
      <c r="DF139" s="299"/>
      <c r="DG139" s="299"/>
      <c r="DH139" s="299"/>
      <c r="DI139" s="299"/>
      <c r="DJ139" s="299"/>
      <c r="DK139" s="299"/>
      <c r="DL139" s="299"/>
      <c r="DM139" s="299"/>
      <c r="DN139" s="299"/>
      <c r="DO139" s="299"/>
      <c r="DP139" s="299"/>
      <c r="DQ139" s="299"/>
      <c r="DR139" s="299"/>
      <c r="DS139" s="298"/>
      <c r="DT139" s="298"/>
      <c r="DU139" s="298"/>
      <c r="DV139" s="298"/>
      <c r="DW139" s="298"/>
      <c r="DX139" s="298"/>
      <c r="DY139" s="298"/>
      <c r="DZ139" s="298"/>
      <c r="EA139" s="298"/>
      <c r="EB139" s="298"/>
      <c r="EC139" s="298"/>
      <c r="ED139" s="298"/>
      <c r="EE139" s="298"/>
      <c r="EF139" s="298"/>
      <c r="EG139" s="298"/>
    </row>
    <row r="140" spans="49:137" ht="11.75" customHeight="1" x14ac:dyDescent="0.15">
      <c r="AW140" s="298"/>
      <c r="AX140" s="298"/>
      <c r="AY140" s="298"/>
      <c r="AZ140" s="298"/>
      <c r="BA140" s="298"/>
      <c r="BB140" s="298"/>
      <c r="BC140" s="298"/>
      <c r="BD140" s="298"/>
      <c r="BE140" s="298"/>
      <c r="BF140" s="298"/>
      <c r="BG140" s="298"/>
      <c r="BH140" s="298"/>
      <c r="BI140" s="298"/>
      <c r="BJ140" s="298"/>
      <c r="BK140" s="298"/>
      <c r="BL140" s="298"/>
      <c r="BM140" s="298"/>
      <c r="BN140" s="298"/>
      <c r="BO140" s="298"/>
      <c r="BP140" s="298"/>
      <c r="BQ140" s="298"/>
      <c r="BR140" s="298"/>
      <c r="BS140" s="298"/>
      <c r="BT140" s="298"/>
      <c r="BU140" s="298"/>
      <c r="BV140" s="298"/>
      <c r="BW140" s="298"/>
      <c r="BX140" s="299"/>
      <c r="BY140" s="299"/>
      <c r="BZ140" s="299"/>
      <c r="CA140" s="299"/>
      <c r="CB140" s="299"/>
      <c r="CC140" s="299"/>
      <c r="CD140" s="299"/>
      <c r="CE140" s="299"/>
      <c r="CF140" s="299"/>
      <c r="CG140" s="299"/>
      <c r="CH140" s="299"/>
      <c r="CI140" s="299"/>
      <c r="CJ140" s="299"/>
      <c r="CK140" s="299"/>
      <c r="CL140" s="299"/>
      <c r="CM140" s="299"/>
      <c r="CN140" s="299"/>
      <c r="CO140" s="299"/>
      <c r="CP140" s="299"/>
      <c r="CQ140" s="299"/>
      <c r="CR140" s="299"/>
      <c r="CS140" s="299"/>
      <c r="CT140" s="299"/>
      <c r="CU140" s="299"/>
      <c r="CV140" s="299"/>
      <c r="CW140" s="299"/>
      <c r="CX140" s="299"/>
      <c r="CY140" s="299"/>
      <c r="CZ140" s="299"/>
      <c r="DA140" s="299"/>
      <c r="DB140" s="299"/>
      <c r="DC140" s="299"/>
      <c r="DD140" s="299"/>
      <c r="DE140" s="299"/>
      <c r="DF140" s="299"/>
      <c r="DG140" s="299"/>
      <c r="DH140" s="299"/>
      <c r="DI140" s="299"/>
      <c r="DJ140" s="299"/>
      <c r="DK140" s="299"/>
      <c r="DL140" s="299"/>
      <c r="DM140" s="299"/>
      <c r="DN140" s="299"/>
      <c r="DO140" s="299"/>
      <c r="DP140" s="299"/>
      <c r="DQ140" s="299"/>
      <c r="DR140" s="299"/>
      <c r="DS140" s="298"/>
      <c r="DT140" s="298"/>
      <c r="DU140" s="298"/>
      <c r="DV140" s="298"/>
      <c r="DW140" s="298"/>
      <c r="DX140" s="298"/>
      <c r="DY140" s="298"/>
      <c r="DZ140" s="298"/>
      <c r="EA140" s="298"/>
      <c r="EB140" s="298"/>
      <c r="EC140" s="298"/>
      <c r="ED140" s="298"/>
      <c r="EE140" s="298"/>
      <c r="EF140" s="298"/>
      <c r="EG140" s="298"/>
    </row>
    <row r="141" spans="49:137" ht="11.75" customHeight="1" x14ac:dyDescent="0.15">
      <c r="AW141" s="298"/>
      <c r="AX141" s="298"/>
      <c r="AY141" s="298"/>
      <c r="AZ141" s="298"/>
      <c r="BA141" s="298"/>
      <c r="BB141" s="298"/>
      <c r="BC141" s="298"/>
      <c r="BD141" s="298"/>
      <c r="BE141" s="298"/>
      <c r="BF141" s="298"/>
      <c r="BG141" s="298"/>
      <c r="BH141" s="298"/>
      <c r="BI141" s="298"/>
      <c r="BJ141" s="298"/>
      <c r="BK141" s="298"/>
      <c r="BL141" s="298"/>
      <c r="BM141" s="298"/>
      <c r="BN141" s="298"/>
      <c r="BO141" s="298"/>
      <c r="BP141" s="298"/>
      <c r="BQ141" s="298"/>
      <c r="BR141" s="298"/>
      <c r="BS141" s="298"/>
      <c r="BT141" s="298"/>
      <c r="BU141" s="298"/>
      <c r="BV141" s="298"/>
      <c r="BW141" s="298"/>
      <c r="BX141" s="299"/>
      <c r="BY141" s="299"/>
      <c r="BZ141" s="299"/>
      <c r="CA141" s="299"/>
      <c r="CB141" s="299"/>
      <c r="CC141" s="299"/>
      <c r="CD141" s="299"/>
      <c r="CE141" s="299"/>
      <c r="CF141" s="299"/>
      <c r="CG141" s="299"/>
      <c r="CH141" s="299"/>
      <c r="CI141" s="299"/>
      <c r="CJ141" s="299"/>
      <c r="CK141" s="299"/>
      <c r="CL141" s="299"/>
      <c r="CM141" s="299"/>
      <c r="CN141" s="299"/>
      <c r="CO141" s="299"/>
      <c r="CP141" s="299"/>
      <c r="CQ141" s="299"/>
      <c r="CR141" s="299"/>
      <c r="CS141" s="299"/>
      <c r="CT141" s="299"/>
      <c r="CU141" s="299"/>
      <c r="CV141" s="299"/>
      <c r="CW141" s="299"/>
      <c r="CX141" s="299"/>
      <c r="CY141" s="299"/>
      <c r="CZ141" s="299"/>
      <c r="DA141" s="299"/>
      <c r="DB141" s="299"/>
      <c r="DC141" s="299"/>
      <c r="DD141" s="299"/>
      <c r="DE141" s="299"/>
      <c r="DF141" s="299"/>
      <c r="DG141" s="299"/>
      <c r="DH141" s="299"/>
      <c r="DI141" s="299"/>
      <c r="DJ141" s="299"/>
      <c r="DK141" s="299"/>
      <c r="DL141" s="299"/>
      <c r="DM141" s="299"/>
      <c r="DN141" s="299"/>
      <c r="DO141" s="299"/>
      <c r="DP141" s="299"/>
      <c r="DQ141" s="299"/>
      <c r="DR141" s="299"/>
      <c r="DS141" s="298"/>
      <c r="DT141" s="298"/>
      <c r="DU141" s="298"/>
      <c r="DV141" s="298"/>
      <c r="DW141" s="298"/>
      <c r="DX141" s="298"/>
      <c r="DY141" s="298"/>
      <c r="DZ141" s="298"/>
      <c r="EA141" s="298"/>
      <c r="EB141" s="298"/>
      <c r="EC141" s="298"/>
      <c r="ED141" s="298"/>
      <c r="EE141" s="298"/>
      <c r="EF141" s="298"/>
      <c r="EG141" s="298"/>
    </row>
    <row r="142" spans="49:137" ht="11.75" customHeight="1" x14ac:dyDescent="0.15">
      <c r="AW142" s="298"/>
      <c r="AX142" s="298"/>
      <c r="AY142" s="298"/>
      <c r="AZ142" s="298"/>
      <c r="BA142" s="298"/>
      <c r="BB142" s="298"/>
      <c r="BC142" s="298"/>
      <c r="BD142" s="298"/>
      <c r="BE142" s="298"/>
      <c r="BF142" s="298"/>
      <c r="BG142" s="298"/>
      <c r="BH142" s="298"/>
      <c r="BI142" s="298"/>
      <c r="BJ142" s="298"/>
      <c r="BK142" s="298"/>
      <c r="BL142" s="298"/>
      <c r="BM142" s="298"/>
      <c r="BN142" s="298"/>
      <c r="BO142" s="298"/>
      <c r="BP142" s="298"/>
      <c r="BQ142" s="298"/>
      <c r="BR142" s="298"/>
      <c r="BS142" s="298"/>
      <c r="BT142" s="298"/>
      <c r="BU142" s="298"/>
      <c r="BV142" s="298"/>
      <c r="BW142" s="298"/>
      <c r="BX142" s="299"/>
      <c r="BY142" s="299"/>
      <c r="BZ142" s="299"/>
      <c r="CA142" s="299"/>
      <c r="CB142" s="299"/>
      <c r="CC142" s="299"/>
      <c r="CD142" s="299"/>
      <c r="CE142" s="299"/>
      <c r="CF142" s="299"/>
      <c r="CG142" s="299"/>
      <c r="CH142" s="299"/>
      <c r="CI142" s="299"/>
      <c r="CJ142" s="299"/>
      <c r="CK142" s="299"/>
      <c r="CL142" s="299"/>
      <c r="CM142" s="299"/>
      <c r="CN142" s="299"/>
      <c r="CO142" s="299"/>
      <c r="CP142" s="299"/>
      <c r="CQ142" s="299"/>
      <c r="CR142" s="299"/>
      <c r="CS142" s="299"/>
      <c r="CT142" s="299"/>
      <c r="CU142" s="299"/>
      <c r="CV142" s="299"/>
      <c r="CW142" s="299"/>
      <c r="CX142" s="299"/>
      <c r="CY142" s="299"/>
      <c r="CZ142" s="299"/>
      <c r="DA142" s="299"/>
      <c r="DB142" s="299"/>
      <c r="DC142" s="299"/>
      <c r="DD142" s="299"/>
      <c r="DE142" s="299"/>
      <c r="DF142" s="299"/>
      <c r="DG142" s="299"/>
      <c r="DH142" s="299"/>
      <c r="DI142" s="299"/>
      <c r="DJ142" s="299"/>
      <c r="DK142" s="299"/>
      <c r="DL142" s="299"/>
      <c r="DM142" s="299"/>
      <c r="DN142" s="299"/>
      <c r="DO142" s="299"/>
      <c r="DP142" s="299"/>
      <c r="DQ142" s="299"/>
      <c r="DR142" s="299"/>
      <c r="DS142" s="298"/>
      <c r="DT142" s="298"/>
      <c r="DU142" s="298"/>
      <c r="DV142" s="298"/>
      <c r="DW142" s="298"/>
      <c r="DX142" s="298"/>
      <c r="DY142" s="298"/>
      <c r="DZ142" s="298"/>
      <c r="EA142" s="298"/>
      <c r="EB142" s="298"/>
      <c r="EC142" s="298"/>
      <c r="ED142" s="298"/>
      <c r="EE142" s="298"/>
      <c r="EF142" s="298"/>
      <c r="EG142" s="298"/>
    </row>
    <row r="143" spans="49:137" ht="11.75" customHeight="1" x14ac:dyDescent="0.15">
      <c r="AW143" s="298"/>
      <c r="AX143" s="298"/>
      <c r="AY143" s="298"/>
      <c r="AZ143" s="298"/>
      <c r="BA143" s="298"/>
      <c r="BB143" s="298"/>
      <c r="BC143" s="298"/>
      <c r="BD143" s="298"/>
      <c r="BE143" s="298"/>
      <c r="BF143" s="298"/>
      <c r="BG143" s="298"/>
      <c r="BH143" s="298"/>
      <c r="BI143" s="298"/>
      <c r="BJ143" s="298"/>
      <c r="BK143" s="298"/>
      <c r="BL143" s="298"/>
      <c r="BM143" s="298"/>
      <c r="BN143" s="298"/>
      <c r="BO143" s="298"/>
      <c r="BP143" s="298"/>
      <c r="BQ143" s="298"/>
      <c r="BR143" s="298"/>
      <c r="BS143" s="298"/>
      <c r="BT143" s="298"/>
      <c r="BU143" s="298"/>
      <c r="BV143" s="298"/>
      <c r="BW143" s="298"/>
      <c r="BX143" s="299"/>
      <c r="BY143" s="299"/>
      <c r="BZ143" s="299"/>
      <c r="CA143" s="299"/>
      <c r="CB143" s="299"/>
      <c r="CC143" s="299"/>
      <c r="CD143" s="299"/>
      <c r="CE143" s="299"/>
      <c r="CF143" s="299"/>
      <c r="CG143" s="299"/>
      <c r="CH143" s="299"/>
      <c r="CI143" s="299"/>
      <c r="CJ143" s="299"/>
      <c r="CK143" s="299"/>
      <c r="CL143" s="299"/>
      <c r="CM143" s="299"/>
      <c r="CN143" s="299"/>
      <c r="CO143" s="299"/>
      <c r="CP143" s="299"/>
      <c r="CQ143" s="299"/>
      <c r="CR143" s="299"/>
      <c r="CS143" s="299"/>
      <c r="CT143" s="299"/>
      <c r="CU143" s="299"/>
      <c r="CV143" s="299"/>
      <c r="CW143" s="299"/>
      <c r="CX143" s="299"/>
      <c r="CY143" s="299"/>
      <c r="CZ143" s="299"/>
      <c r="DA143" s="299"/>
      <c r="DB143" s="299"/>
      <c r="DC143" s="299"/>
      <c r="DD143" s="299"/>
      <c r="DE143" s="299"/>
      <c r="DF143" s="299"/>
      <c r="DG143" s="299"/>
      <c r="DH143" s="299"/>
      <c r="DI143" s="299"/>
      <c r="DJ143" s="299"/>
      <c r="DK143" s="299"/>
      <c r="DL143" s="299"/>
      <c r="DM143" s="299"/>
      <c r="DN143" s="299"/>
      <c r="DO143" s="299"/>
      <c r="DP143" s="299"/>
      <c r="DQ143" s="299"/>
      <c r="DR143" s="299"/>
      <c r="DS143" s="298"/>
      <c r="DT143" s="298"/>
      <c r="DU143" s="298"/>
      <c r="DV143" s="298"/>
      <c r="DW143" s="298"/>
      <c r="DX143" s="298"/>
      <c r="DY143" s="298"/>
      <c r="DZ143" s="298"/>
      <c r="EA143" s="298"/>
      <c r="EB143" s="298"/>
      <c r="EC143" s="298"/>
      <c r="ED143" s="298"/>
      <c r="EE143" s="298"/>
      <c r="EF143" s="298"/>
      <c r="EG143" s="298"/>
    </row>
    <row r="144" spans="49:137" ht="11.75" customHeight="1" x14ac:dyDescent="0.15">
      <c r="AW144" s="298"/>
      <c r="AX144" s="298"/>
      <c r="AY144" s="298"/>
      <c r="AZ144" s="298"/>
      <c r="BA144" s="298"/>
      <c r="BB144" s="298"/>
      <c r="BC144" s="298"/>
      <c r="BD144" s="298"/>
      <c r="BE144" s="298"/>
      <c r="BF144" s="298"/>
      <c r="BG144" s="298"/>
      <c r="BH144" s="298"/>
      <c r="BI144" s="298"/>
      <c r="BJ144" s="298"/>
      <c r="BK144" s="298"/>
      <c r="BL144" s="298"/>
      <c r="BM144" s="298"/>
      <c r="BN144" s="298"/>
      <c r="BO144" s="298"/>
      <c r="BP144" s="298"/>
      <c r="BQ144" s="298"/>
      <c r="BR144" s="298"/>
      <c r="BS144" s="298"/>
      <c r="BT144" s="298"/>
      <c r="BU144" s="298"/>
      <c r="BV144" s="298"/>
      <c r="BW144" s="298"/>
      <c r="BX144" s="299"/>
      <c r="BY144" s="299"/>
      <c r="BZ144" s="299"/>
      <c r="CA144" s="299"/>
      <c r="CB144" s="299"/>
      <c r="CC144" s="299"/>
      <c r="CD144" s="299"/>
      <c r="CE144" s="299"/>
      <c r="CF144" s="299"/>
      <c r="CG144" s="299"/>
      <c r="CH144" s="299"/>
      <c r="CI144" s="299"/>
      <c r="CJ144" s="299"/>
      <c r="CK144" s="299"/>
      <c r="CL144" s="299"/>
      <c r="CM144" s="299"/>
      <c r="CN144" s="299"/>
      <c r="CO144" s="299"/>
      <c r="CP144" s="299"/>
      <c r="CQ144" s="299"/>
      <c r="CR144" s="299"/>
      <c r="CS144" s="299"/>
      <c r="CT144" s="299"/>
      <c r="CU144" s="299"/>
      <c r="CV144" s="299"/>
      <c r="CW144" s="299"/>
      <c r="CX144" s="299"/>
      <c r="CY144" s="299"/>
      <c r="CZ144" s="299"/>
      <c r="DA144" s="299"/>
      <c r="DB144" s="299"/>
      <c r="DC144" s="299"/>
      <c r="DD144" s="299"/>
      <c r="DE144" s="299"/>
      <c r="DF144" s="299"/>
      <c r="DG144" s="299"/>
      <c r="DH144" s="299"/>
      <c r="DI144" s="299"/>
      <c r="DJ144" s="299"/>
      <c r="DK144" s="299"/>
      <c r="DL144" s="299"/>
      <c r="DM144" s="299"/>
      <c r="DN144" s="299"/>
      <c r="DO144" s="299"/>
      <c r="DP144" s="299"/>
      <c r="DQ144" s="299"/>
      <c r="DR144" s="299"/>
      <c r="DS144" s="298"/>
      <c r="DT144" s="298"/>
      <c r="DU144" s="298"/>
      <c r="DV144" s="298"/>
      <c r="DW144" s="298"/>
      <c r="DX144" s="298"/>
      <c r="DY144" s="298"/>
      <c r="DZ144" s="298"/>
      <c r="EA144" s="298"/>
      <c r="EB144" s="298"/>
      <c r="EC144" s="298"/>
      <c r="ED144" s="298"/>
      <c r="EE144" s="298"/>
      <c r="EF144" s="298"/>
      <c r="EG144" s="298"/>
    </row>
    <row r="145" spans="49:137" ht="11.75" customHeight="1" x14ac:dyDescent="0.15">
      <c r="AW145" s="298"/>
      <c r="AX145" s="298"/>
      <c r="AY145" s="298"/>
      <c r="AZ145" s="298"/>
      <c r="BA145" s="298"/>
      <c r="BB145" s="298"/>
      <c r="BC145" s="298"/>
      <c r="BD145" s="298"/>
      <c r="BE145" s="298"/>
      <c r="BF145" s="298"/>
      <c r="BG145" s="298"/>
      <c r="BH145" s="298"/>
      <c r="BI145" s="298"/>
      <c r="BJ145" s="298"/>
      <c r="BK145" s="298"/>
      <c r="BL145" s="298"/>
      <c r="BM145" s="298"/>
      <c r="BN145" s="298"/>
      <c r="BO145" s="298"/>
      <c r="BP145" s="298"/>
      <c r="BQ145" s="298"/>
      <c r="BR145" s="298"/>
      <c r="BS145" s="298"/>
      <c r="BT145" s="298"/>
      <c r="BU145" s="298"/>
      <c r="BV145" s="298"/>
      <c r="BW145" s="298"/>
      <c r="BX145" s="299"/>
      <c r="BY145" s="299"/>
      <c r="BZ145" s="299"/>
      <c r="CA145" s="299"/>
      <c r="CB145" s="299"/>
      <c r="CC145" s="299"/>
      <c r="CD145" s="299"/>
      <c r="CE145" s="299"/>
      <c r="CF145" s="299"/>
      <c r="CG145" s="299"/>
      <c r="CH145" s="299"/>
      <c r="CI145" s="299"/>
      <c r="CJ145" s="299"/>
      <c r="CK145" s="299"/>
      <c r="CL145" s="299"/>
      <c r="CM145" s="299"/>
      <c r="CN145" s="299"/>
      <c r="CO145" s="299"/>
      <c r="CP145" s="299"/>
      <c r="CQ145" s="299"/>
      <c r="CR145" s="299"/>
      <c r="CS145" s="299"/>
      <c r="CT145" s="299"/>
      <c r="CU145" s="299"/>
      <c r="CV145" s="299"/>
      <c r="CW145" s="299"/>
      <c r="CX145" s="299"/>
      <c r="CY145" s="299"/>
      <c r="CZ145" s="299"/>
      <c r="DA145" s="299"/>
      <c r="DB145" s="299"/>
      <c r="DC145" s="299"/>
      <c r="DD145" s="299"/>
      <c r="DE145" s="299"/>
      <c r="DF145" s="299"/>
      <c r="DG145" s="299"/>
      <c r="DH145" s="299"/>
      <c r="DI145" s="299"/>
      <c r="DJ145" s="299"/>
      <c r="DK145" s="299"/>
      <c r="DL145" s="299"/>
      <c r="DM145" s="299"/>
      <c r="DN145" s="299"/>
      <c r="DO145" s="299"/>
      <c r="DP145" s="299"/>
      <c r="DQ145" s="299"/>
      <c r="DR145" s="299"/>
      <c r="DS145" s="298"/>
      <c r="DT145" s="298"/>
      <c r="DU145" s="298"/>
      <c r="DV145" s="298"/>
      <c r="DW145" s="298"/>
      <c r="DX145" s="298"/>
      <c r="DY145" s="298"/>
      <c r="DZ145" s="298"/>
      <c r="EA145" s="298"/>
      <c r="EB145" s="298"/>
      <c r="EC145" s="298"/>
      <c r="ED145" s="298"/>
      <c r="EE145" s="298"/>
      <c r="EF145" s="298"/>
      <c r="EG145" s="298"/>
    </row>
    <row r="146" spans="49:137" ht="11.75" customHeight="1" x14ac:dyDescent="0.15">
      <c r="AW146" s="298"/>
      <c r="AX146" s="298"/>
      <c r="AY146" s="298"/>
      <c r="AZ146" s="298"/>
      <c r="BA146" s="298"/>
      <c r="BB146" s="298"/>
      <c r="BC146" s="298"/>
      <c r="BD146" s="298"/>
      <c r="BE146" s="298"/>
      <c r="BF146" s="298"/>
      <c r="BG146" s="298"/>
      <c r="BH146" s="298"/>
      <c r="BI146" s="298"/>
      <c r="BJ146" s="298"/>
      <c r="BK146" s="298"/>
      <c r="BL146" s="298"/>
      <c r="BM146" s="298"/>
      <c r="BN146" s="298"/>
      <c r="BO146" s="298"/>
      <c r="BP146" s="298"/>
      <c r="BQ146" s="298"/>
      <c r="BR146" s="298"/>
      <c r="BS146" s="298"/>
      <c r="BT146" s="298"/>
      <c r="BU146" s="298"/>
      <c r="BV146" s="298"/>
      <c r="BW146" s="298"/>
      <c r="BX146" s="299"/>
      <c r="BY146" s="299"/>
      <c r="BZ146" s="299"/>
      <c r="CA146" s="299"/>
      <c r="CB146" s="299"/>
      <c r="CC146" s="299"/>
      <c r="CD146" s="299"/>
      <c r="CE146" s="299"/>
      <c r="CF146" s="299"/>
      <c r="CG146" s="299"/>
      <c r="CH146" s="299"/>
      <c r="CI146" s="299"/>
      <c r="CJ146" s="299"/>
      <c r="CK146" s="299"/>
      <c r="CL146" s="299"/>
      <c r="CM146" s="299"/>
      <c r="CN146" s="299"/>
      <c r="CO146" s="299"/>
      <c r="CP146" s="299"/>
      <c r="CQ146" s="299"/>
      <c r="CR146" s="299"/>
      <c r="CS146" s="299"/>
      <c r="CT146" s="299"/>
      <c r="CU146" s="299"/>
      <c r="CV146" s="299"/>
      <c r="CW146" s="299"/>
      <c r="CX146" s="299"/>
      <c r="CY146" s="299"/>
      <c r="CZ146" s="299"/>
      <c r="DA146" s="299"/>
      <c r="DB146" s="299"/>
      <c r="DC146" s="299"/>
      <c r="DD146" s="299"/>
      <c r="DE146" s="299"/>
      <c r="DF146" s="299"/>
      <c r="DG146" s="299"/>
      <c r="DH146" s="299"/>
      <c r="DI146" s="299"/>
      <c r="DJ146" s="299"/>
      <c r="DK146" s="299"/>
      <c r="DL146" s="299"/>
      <c r="DM146" s="299"/>
      <c r="DN146" s="299"/>
      <c r="DO146" s="299"/>
      <c r="DP146" s="299"/>
      <c r="DQ146" s="299"/>
      <c r="DR146" s="299"/>
      <c r="DS146" s="298"/>
      <c r="DT146" s="298"/>
      <c r="DU146" s="298"/>
      <c r="DV146" s="298"/>
      <c r="DW146" s="298"/>
      <c r="DX146" s="298"/>
      <c r="DY146" s="298"/>
      <c r="DZ146" s="298"/>
      <c r="EA146" s="298"/>
      <c r="EB146" s="298"/>
      <c r="EC146" s="298"/>
      <c r="ED146" s="298"/>
      <c r="EE146" s="298"/>
      <c r="EF146" s="298"/>
      <c r="EG146" s="298"/>
    </row>
    <row r="147" spans="49:137" ht="11.75" customHeight="1" x14ac:dyDescent="0.15">
      <c r="AW147" s="298"/>
      <c r="AX147" s="298"/>
      <c r="AY147" s="298"/>
      <c r="AZ147" s="298"/>
      <c r="BA147" s="298"/>
      <c r="BB147" s="298"/>
      <c r="BC147" s="298"/>
      <c r="BD147" s="298"/>
      <c r="BE147" s="298"/>
      <c r="BF147" s="298"/>
      <c r="BG147" s="298"/>
      <c r="BH147" s="298"/>
      <c r="BI147" s="298"/>
      <c r="BJ147" s="298"/>
      <c r="BK147" s="298"/>
      <c r="BL147" s="298"/>
      <c r="BM147" s="298"/>
      <c r="BN147" s="298"/>
      <c r="BO147" s="298"/>
      <c r="BP147" s="298"/>
      <c r="BQ147" s="298"/>
      <c r="BR147" s="298"/>
      <c r="BS147" s="298"/>
      <c r="BT147" s="298"/>
      <c r="BU147" s="298"/>
      <c r="BV147" s="298"/>
      <c r="BW147" s="298"/>
      <c r="BX147" s="299"/>
      <c r="BY147" s="299"/>
      <c r="BZ147" s="299"/>
      <c r="CA147" s="299"/>
      <c r="CB147" s="299"/>
      <c r="CC147" s="299"/>
      <c r="CD147" s="299"/>
      <c r="CE147" s="299"/>
      <c r="CF147" s="299"/>
      <c r="CG147" s="299"/>
      <c r="CH147" s="299"/>
      <c r="CI147" s="299"/>
      <c r="CJ147" s="299"/>
      <c r="CK147" s="299"/>
      <c r="CL147" s="299"/>
      <c r="CM147" s="299"/>
      <c r="CN147" s="299"/>
      <c r="CO147" s="299"/>
      <c r="CP147" s="299"/>
      <c r="CQ147" s="299"/>
      <c r="CR147" s="299"/>
      <c r="CS147" s="299"/>
      <c r="CT147" s="299"/>
      <c r="CU147" s="299"/>
      <c r="CV147" s="299"/>
      <c r="CW147" s="299"/>
      <c r="CX147" s="299"/>
      <c r="CY147" s="299"/>
      <c r="CZ147" s="299"/>
      <c r="DA147" s="299"/>
      <c r="DB147" s="299"/>
      <c r="DC147" s="299"/>
      <c r="DD147" s="299"/>
      <c r="DE147" s="299"/>
      <c r="DF147" s="299"/>
      <c r="DG147" s="299"/>
      <c r="DH147" s="299"/>
      <c r="DI147" s="299"/>
      <c r="DJ147" s="299"/>
      <c r="DK147" s="299"/>
      <c r="DL147" s="299"/>
      <c r="DM147" s="299"/>
      <c r="DN147" s="299"/>
      <c r="DO147" s="299"/>
      <c r="DP147" s="299"/>
      <c r="DQ147" s="299"/>
      <c r="DR147" s="299"/>
      <c r="DS147" s="298"/>
      <c r="DT147" s="298"/>
      <c r="DU147" s="298"/>
      <c r="DV147" s="298"/>
      <c r="DW147" s="298"/>
      <c r="DX147" s="298"/>
      <c r="DY147" s="298"/>
      <c r="DZ147" s="298"/>
      <c r="EA147" s="298"/>
      <c r="EB147" s="298"/>
      <c r="EC147" s="298"/>
      <c r="ED147" s="298"/>
      <c r="EE147" s="298"/>
      <c r="EF147" s="298"/>
      <c r="EG147" s="298"/>
    </row>
    <row r="148" spans="49:137" ht="11.75" customHeight="1" x14ac:dyDescent="0.15">
      <c r="AW148" s="298"/>
      <c r="AX148" s="298"/>
      <c r="AY148" s="298"/>
      <c r="AZ148" s="298"/>
      <c r="BA148" s="298"/>
      <c r="BB148" s="298"/>
      <c r="BC148" s="298"/>
      <c r="BD148" s="298"/>
      <c r="BE148" s="298"/>
      <c r="BF148" s="298"/>
      <c r="BG148" s="298"/>
      <c r="BH148" s="298"/>
      <c r="BI148" s="298"/>
      <c r="BJ148" s="298"/>
      <c r="BK148" s="298"/>
      <c r="BL148" s="298"/>
      <c r="BM148" s="298"/>
      <c r="BN148" s="298"/>
      <c r="BO148" s="298"/>
      <c r="BP148" s="298"/>
      <c r="BQ148" s="298"/>
      <c r="BR148" s="298"/>
      <c r="BS148" s="298"/>
      <c r="BT148" s="298"/>
      <c r="BU148" s="298"/>
      <c r="BV148" s="298"/>
      <c r="BW148" s="298"/>
      <c r="BX148" s="299"/>
      <c r="BY148" s="299"/>
      <c r="BZ148" s="299"/>
      <c r="CA148" s="299"/>
      <c r="CB148" s="299"/>
      <c r="CC148" s="299"/>
      <c r="CD148" s="299"/>
      <c r="CE148" s="299"/>
      <c r="CF148" s="299"/>
      <c r="CG148" s="299"/>
      <c r="CH148" s="299"/>
      <c r="CI148" s="299"/>
      <c r="CJ148" s="299"/>
      <c r="CK148" s="299"/>
      <c r="CL148" s="299"/>
      <c r="CM148" s="299"/>
      <c r="CN148" s="299"/>
      <c r="CO148" s="299"/>
      <c r="CP148" s="299"/>
      <c r="CQ148" s="299"/>
      <c r="CR148" s="299"/>
      <c r="CS148" s="299"/>
      <c r="CT148" s="299"/>
      <c r="CU148" s="299"/>
      <c r="CV148" s="299"/>
      <c r="CW148" s="299"/>
      <c r="CX148" s="299"/>
      <c r="CY148" s="299"/>
      <c r="CZ148" s="299"/>
      <c r="DA148" s="299"/>
      <c r="DB148" s="299"/>
      <c r="DC148" s="299"/>
      <c r="DD148" s="299"/>
      <c r="DE148" s="299"/>
      <c r="DF148" s="299"/>
      <c r="DG148" s="299"/>
      <c r="DH148" s="299"/>
      <c r="DI148" s="299"/>
      <c r="DJ148" s="299"/>
      <c r="DK148" s="299"/>
      <c r="DL148" s="299"/>
      <c r="DM148" s="299"/>
      <c r="DN148" s="299"/>
      <c r="DO148" s="299"/>
      <c r="DP148" s="299"/>
      <c r="DQ148" s="299"/>
      <c r="DR148" s="299"/>
      <c r="DS148" s="298"/>
      <c r="DT148" s="298"/>
      <c r="DU148" s="298"/>
      <c r="DV148" s="298"/>
      <c r="DW148" s="298"/>
      <c r="DX148" s="298"/>
      <c r="DY148" s="298"/>
      <c r="DZ148" s="298"/>
      <c r="EA148" s="298"/>
      <c r="EB148" s="298"/>
      <c r="EC148" s="298"/>
      <c r="ED148" s="298"/>
      <c r="EE148" s="298"/>
      <c r="EF148" s="298"/>
      <c r="EG148" s="298"/>
    </row>
    <row r="149" spans="49:137" ht="11.75" customHeight="1" x14ac:dyDescent="0.15">
      <c r="AW149" s="298"/>
      <c r="AX149" s="298"/>
      <c r="AY149" s="298"/>
      <c r="AZ149" s="298"/>
      <c r="BA149" s="298"/>
      <c r="BB149" s="298"/>
      <c r="BC149" s="298"/>
      <c r="BD149" s="298"/>
      <c r="BE149" s="298"/>
      <c r="BF149" s="298"/>
      <c r="BG149" s="298"/>
      <c r="BH149" s="298"/>
      <c r="BI149" s="298"/>
      <c r="BJ149" s="298"/>
      <c r="BK149" s="298"/>
      <c r="BL149" s="298"/>
      <c r="BM149" s="298"/>
      <c r="BN149" s="298"/>
      <c r="BO149" s="298"/>
      <c r="BP149" s="298"/>
      <c r="BQ149" s="298"/>
      <c r="BR149" s="298"/>
      <c r="BS149" s="298"/>
      <c r="BT149" s="298"/>
      <c r="BU149" s="298"/>
      <c r="BV149" s="298"/>
      <c r="BW149" s="298"/>
      <c r="BX149" s="299"/>
      <c r="BY149" s="299"/>
      <c r="BZ149" s="299"/>
      <c r="CA149" s="299"/>
      <c r="CB149" s="299"/>
      <c r="CC149" s="299"/>
      <c r="CD149" s="299"/>
      <c r="CE149" s="299"/>
      <c r="CF149" s="299"/>
      <c r="CG149" s="299"/>
      <c r="CH149" s="299"/>
      <c r="CI149" s="299"/>
      <c r="CJ149" s="299"/>
      <c r="CK149" s="299"/>
      <c r="CL149" s="299"/>
      <c r="CM149" s="299"/>
      <c r="CN149" s="299"/>
      <c r="CO149" s="299"/>
      <c r="CP149" s="299"/>
      <c r="CQ149" s="299"/>
      <c r="CR149" s="299"/>
      <c r="CS149" s="299"/>
      <c r="CT149" s="299"/>
      <c r="CU149" s="299"/>
      <c r="CV149" s="299"/>
      <c r="CW149" s="299"/>
      <c r="CX149" s="299"/>
      <c r="CY149" s="299"/>
      <c r="CZ149" s="299"/>
      <c r="DA149" s="299"/>
      <c r="DB149" s="299"/>
      <c r="DC149" s="299"/>
      <c r="DD149" s="299"/>
      <c r="DE149" s="299"/>
      <c r="DF149" s="299"/>
      <c r="DG149" s="299"/>
      <c r="DH149" s="299"/>
      <c r="DI149" s="299"/>
      <c r="DJ149" s="299"/>
      <c r="DK149" s="299"/>
      <c r="DL149" s="299"/>
      <c r="DM149" s="299"/>
      <c r="DN149" s="299"/>
      <c r="DO149" s="299"/>
      <c r="DP149" s="299"/>
      <c r="DQ149" s="299"/>
      <c r="DR149" s="299"/>
      <c r="DS149" s="298"/>
      <c r="DT149" s="298"/>
      <c r="DU149" s="298"/>
      <c r="DV149" s="298"/>
      <c r="DW149" s="298"/>
      <c r="DX149" s="298"/>
      <c r="DY149" s="298"/>
      <c r="DZ149" s="298"/>
      <c r="EA149" s="298"/>
      <c r="EB149" s="298"/>
      <c r="EC149" s="298"/>
      <c r="ED149" s="298"/>
      <c r="EE149" s="298"/>
      <c r="EF149" s="298"/>
      <c r="EG149" s="298"/>
    </row>
    <row r="150" spans="49:137" ht="11.75" customHeight="1" x14ac:dyDescent="0.15">
      <c r="AW150" s="298"/>
      <c r="AX150" s="298"/>
      <c r="AY150" s="298"/>
      <c r="AZ150" s="298"/>
      <c r="BA150" s="298"/>
      <c r="BB150" s="298"/>
      <c r="BC150" s="298"/>
      <c r="BD150" s="298"/>
      <c r="BE150" s="298"/>
      <c r="BF150" s="298"/>
      <c r="BG150" s="298"/>
      <c r="BH150" s="298"/>
      <c r="BI150" s="298"/>
      <c r="BJ150" s="298"/>
      <c r="BK150" s="298"/>
      <c r="BL150" s="298"/>
      <c r="BM150" s="298"/>
      <c r="BN150" s="298"/>
      <c r="BO150" s="298"/>
      <c r="BP150" s="298"/>
      <c r="BQ150" s="298"/>
      <c r="BR150" s="298"/>
      <c r="BS150" s="298"/>
      <c r="BT150" s="298"/>
      <c r="BU150" s="298"/>
      <c r="BV150" s="298"/>
      <c r="BW150" s="298"/>
      <c r="BX150" s="299"/>
      <c r="BY150" s="299"/>
      <c r="BZ150" s="299"/>
      <c r="CA150" s="299"/>
      <c r="CB150" s="299"/>
      <c r="CC150" s="299"/>
      <c r="CD150" s="299"/>
      <c r="CE150" s="299"/>
      <c r="CF150" s="299"/>
      <c r="CG150" s="299"/>
      <c r="CH150" s="299"/>
      <c r="CI150" s="299"/>
      <c r="CJ150" s="299"/>
      <c r="CK150" s="299"/>
      <c r="CL150" s="299"/>
      <c r="CM150" s="299"/>
      <c r="CN150" s="299"/>
      <c r="CO150" s="299"/>
      <c r="CP150" s="299"/>
      <c r="CQ150" s="299"/>
      <c r="CR150" s="299"/>
      <c r="CS150" s="299"/>
      <c r="CT150" s="299"/>
      <c r="CU150" s="299"/>
      <c r="CV150" s="299"/>
      <c r="CW150" s="299"/>
      <c r="CX150" s="299"/>
      <c r="CY150" s="299"/>
      <c r="CZ150" s="299"/>
      <c r="DA150" s="299"/>
      <c r="DB150" s="299"/>
      <c r="DC150" s="299"/>
      <c r="DD150" s="299"/>
      <c r="DE150" s="299"/>
      <c r="DF150" s="299"/>
      <c r="DG150" s="299"/>
      <c r="DH150" s="299"/>
      <c r="DI150" s="299"/>
      <c r="DJ150" s="299"/>
      <c r="DK150" s="299"/>
      <c r="DL150" s="299"/>
      <c r="DM150" s="299"/>
      <c r="DN150" s="299"/>
      <c r="DO150" s="299"/>
      <c r="DP150" s="299"/>
      <c r="DQ150" s="299"/>
      <c r="DR150" s="299"/>
      <c r="DS150" s="298"/>
      <c r="DT150" s="298"/>
      <c r="DU150" s="298"/>
      <c r="DV150" s="298"/>
      <c r="DW150" s="298"/>
      <c r="DX150" s="298"/>
      <c r="DY150" s="298"/>
      <c r="DZ150" s="298"/>
      <c r="EA150" s="298"/>
      <c r="EB150" s="298"/>
      <c r="EC150" s="298"/>
      <c r="ED150" s="298"/>
      <c r="EE150" s="298"/>
      <c r="EF150" s="298"/>
      <c r="EG150" s="298"/>
    </row>
    <row r="151" spans="49:137" ht="11.75" customHeight="1" x14ac:dyDescent="0.15">
      <c r="AW151" s="298"/>
      <c r="AX151" s="298"/>
      <c r="AY151" s="298"/>
      <c r="AZ151" s="298"/>
      <c r="BA151" s="298"/>
      <c r="BB151" s="298"/>
      <c r="BC151" s="298"/>
      <c r="BD151" s="298"/>
      <c r="BE151" s="298"/>
      <c r="BF151" s="298"/>
      <c r="BG151" s="298"/>
      <c r="BH151" s="298"/>
      <c r="BI151" s="298"/>
      <c r="BJ151" s="298"/>
      <c r="BK151" s="298"/>
      <c r="BL151" s="298"/>
      <c r="BM151" s="298"/>
      <c r="BN151" s="298"/>
      <c r="BO151" s="298"/>
      <c r="BP151" s="298"/>
      <c r="BQ151" s="298"/>
      <c r="BR151" s="298"/>
      <c r="BS151" s="298"/>
      <c r="BT151" s="298"/>
      <c r="BU151" s="298"/>
      <c r="BV151" s="298"/>
      <c r="BW151" s="298"/>
      <c r="BX151" s="299"/>
      <c r="BY151" s="299"/>
      <c r="BZ151" s="299"/>
      <c r="CA151" s="299"/>
      <c r="CB151" s="299"/>
      <c r="CC151" s="299"/>
      <c r="CD151" s="299"/>
      <c r="CE151" s="299"/>
      <c r="CF151" s="299"/>
      <c r="CG151" s="299"/>
      <c r="CH151" s="299"/>
      <c r="CI151" s="299"/>
      <c r="CJ151" s="299"/>
      <c r="CK151" s="299"/>
      <c r="CL151" s="299"/>
      <c r="CM151" s="299"/>
      <c r="CN151" s="299"/>
      <c r="CO151" s="299"/>
      <c r="CP151" s="299"/>
      <c r="CQ151" s="299"/>
      <c r="CR151" s="299"/>
      <c r="CS151" s="299"/>
      <c r="CT151" s="299"/>
      <c r="CU151" s="299"/>
      <c r="CV151" s="299"/>
      <c r="CW151" s="299"/>
      <c r="CX151" s="299"/>
      <c r="CY151" s="299"/>
      <c r="CZ151" s="299"/>
      <c r="DA151" s="299"/>
      <c r="DB151" s="299"/>
      <c r="DC151" s="299"/>
      <c r="DD151" s="299"/>
      <c r="DE151" s="299"/>
      <c r="DF151" s="299"/>
      <c r="DG151" s="299"/>
      <c r="DH151" s="299"/>
      <c r="DI151" s="299"/>
      <c r="DJ151" s="299"/>
      <c r="DK151" s="299"/>
      <c r="DL151" s="299"/>
      <c r="DM151" s="299"/>
      <c r="DN151" s="299"/>
      <c r="DO151" s="299"/>
      <c r="DP151" s="299"/>
      <c r="DQ151" s="299"/>
      <c r="DR151" s="299"/>
      <c r="DS151" s="298"/>
      <c r="DT151" s="298"/>
      <c r="DU151" s="298"/>
      <c r="DV151" s="298"/>
      <c r="DW151" s="298"/>
      <c r="DX151" s="298"/>
      <c r="DY151" s="298"/>
      <c r="DZ151" s="298"/>
      <c r="EA151" s="298"/>
      <c r="EB151" s="298"/>
      <c r="EC151" s="298"/>
      <c r="ED151" s="298"/>
      <c r="EE151" s="298"/>
      <c r="EF151" s="298"/>
      <c r="EG151" s="298"/>
    </row>
    <row r="152" spans="49:137" ht="11.75" customHeight="1" x14ac:dyDescent="0.15">
      <c r="AW152" s="298"/>
      <c r="AX152" s="298"/>
      <c r="AY152" s="298"/>
      <c r="AZ152" s="298"/>
      <c r="BA152" s="298"/>
      <c r="BB152" s="298"/>
      <c r="BC152" s="298"/>
      <c r="BD152" s="298"/>
      <c r="BE152" s="298"/>
      <c r="BF152" s="298"/>
      <c r="BG152" s="298"/>
      <c r="BH152" s="298"/>
      <c r="BI152" s="298"/>
      <c r="BJ152" s="298"/>
      <c r="BK152" s="298"/>
      <c r="BL152" s="298"/>
      <c r="BM152" s="298"/>
      <c r="BN152" s="298"/>
      <c r="BO152" s="298"/>
      <c r="BP152" s="298"/>
      <c r="BQ152" s="298"/>
      <c r="BR152" s="298"/>
      <c r="BS152" s="298"/>
      <c r="BT152" s="298"/>
      <c r="BU152" s="298"/>
      <c r="BV152" s="298"/>
      <c r="BW152" s="298"/>
      <c r="BX152" s="299"/>
      <c r="BY152" s="299"/>
      <c r="BZ152" s="299"/>
      <c r="CA152" s="299"/>
      <c r="CB152" s="299"/>
      <c r="CC152" s="299"/>
      <c r="CD152" s="299"/>
      <c r="CE152" s="299"/>
      <c r="CF152" s="299"/>
      <c r="CG152" s="299"/>
      <c r="CH152" s="299"/>
      <c r="CI152" s="299"/>
      <c r="CJ152" s="299"/>
      <c r="CK152" s="299"/>
      <c r="CL152" s="299"/>
      <c r="CM152" s="299"/>
      <c r="CN152" s="299"/>
      <c r="CO152" s="299"/>
      <c r="CP152" s="299"/>
      <c r="CQ152" s="299"/>
      <c r="CR152" s="299"/>
      <c r="CS152" s="299"/>
      <c r="CT152" s="299"/>
      <c r="CU152" s="299"/>
      <c r="CV152" s="299"/>
      <c r="CW152" s="299"/>
      <c r="CX152" s="299"/>
      <c r="CY152" s="299"/>
      <c r="CZ152" s="299"/>
      <c r="DA152" s="299"/>
      <c r="DB152" s="299"/>
      <c r="DC152" s="299"/>
      <c r="DD152" s="299"/>
      <c r="DE152" s="299"/>
      <c r="DF152" s="299"/>
      <c r="DG152" s="299"/>
      <c r="DH152" s="299"/>
      <c r="DI152" s="299"/>
      <c r="DJ152" s="299"/>
      <c r="DK152" s="299"/>
      <c r="DL152" s="299"/>
      <c r="DM152" s="299"/>
      <c r="DN152" s="299"/>
      <c r="DO152" s="299"/>
      <c r="DP152" s="299"/>
      <c r="DQ152" s="299"/>
      <c r="DR152" s="299"/>
      <c r="DS152" s="298"/>
      <c r="DT152" s="298"/>
      <c r="DU152" s="298"/>
      <c r="DV152" s="298"/>
      <c r="DW152" s="298"/>
      <c r="DX152" s="298"/>
      <c r="DY152" s="298"/>
      <c r="DZ152" s="298"/>
      <c r="EA152" s="298"/>
      <c r="EB152" s="298"/>
      <c r="EC152" s="298"/>
      <c r="ED152" s="298"/>
      <c r="EE152" s="298"/>
      <c r="EF152" s="298"/>
      <c r="EG152" s="298"/>
    </row>
    <row r="153" spans="49:137" ht="11.75" customHeight="1" x14ac:dyDescent="0.15">
      <c r="AW153" s="298"/>
      <c r="AX153" s="298"/>
      <c r="AY153" s="298"/>
      <c r="AZ153" s="298"/>
      <c r="BA153" s="298"/>
      <c r="BB153" s="298"/>
      <c r="BC153" s="298"/>
      <c r="BD153" s="298"/>
      <c r="BE153" s="298"/>
      <c r="BF153" s="298"/>
      <c r="BG153" s="298"/>
      <c r="BH153" s="298"/>
      <c r="BI153" s="298"/>
      <c r="BJ153" s="298"/>
      <c r="BK153" s="298"/>
      <c r="BL153" s="298"/>
      <c r="BM153" s="298"/>
      <c r="BN153" s="298"/>
      <c r="BO153" s="298"/>
      <c r="BP153" s="298"/>
      <c r="BQ153" s="298"/>
      <c r="BR153" s="298"/>
      <c r="BS153" s="298"/>
      <c r="BT153" s="298"/>
      <c r="BU153" s="298"/>
      <c r="BV153" s="298"/>
      <c r="BW153" s="298"/>
      <c r="BX153" s="299"/>
      <c r="BY153" s="299"/>
      <c r="BZ153" s="299"/>
      <c r="CA153" s="299"/>
      <c r="CB153" s="299"/>
      <c r="CC153" s="299"/>
      <c r="CD153" s="299"/>
      <c r="CE153" s="299"/>
      <c r="CF153" s="299"/>
      <c r="CG153" s="299"/>
      <c r="CH153" s="299"/>
      <c r="CI153" s="299"/>
      <c r="CJ153" s="299"/>
      <c r="CK153" s="299"/>
      <c r="CL153" s="299"/>
      <c r="CM153" s="299"/>
      <c r="CN153" s="299"/>
      <c r="CO153" s="299"/>
      <c r="CP153" s="299"/>
      <c r="CQ153" s="299"/>
      <c r="CR153" s="299"/>
      <c r="CS153" s="299"/>
      <c r="CT153" s="299"/>
      <c r="CU153" s="299"/>
      <c r="CV153" s="299"/>
      <c r="CW153" s="299"/>
      <c r="CX153" s="299"/>
      <c r="CY153" s="299"/>
      <c r="CZ153" s="299"/>
      <c r="DA153" s="299"/>
      <c r="DB153" s="299"/>
      <c r="DC153" s="299"/>
      <c r="DD153" s="299"/>
      <c r="DE153" s="299"/>
      <c r="DF153" s="299"/>
      <c r="DG153" s="299"/>
      <c r="DH153" s="299"/>
      <c r="DI153" s="299"/>
      <c r="DJ153" s="299"/>
      <c r="DK153" s="299"/>
      <c r="DL153" s="299"/>
      <c r="DM153" s="299"/>
      <c r="DN153" s="299"/>
      <c r="DO153" s="299"/>
      <c r="DP153" s="299"/>
      <c r="DQ153" s="299"/>
      <c r="DR153" s="299"/>
      <c r="DS153" s="298"/>
      <c r="DT153" s="298"/>
      <c r="DU153" s="298"/>
      <c r="DV153" s="298"/>
      <c r="DW153" s="298"/>
      <c r="DX153" s="298"/>
      <c r="DY153" s="298"/>
      <c r="DZ153" s="298"/>
      <c r="EA153" s="298"/>
      <c r="EB153" s="298"/>
      <c r="EC153" s="298"/>
      <c r="ED153" s="298"/>
      <c r="EE153" s="298"/>
      <c r="EF153" s="298"/>
      <c r="EG153" s="298"/>
    </row>
    <row r="154" spans="49:137" ht="11.75" customHeight="1" x14ac:dyDescent="0.15">
      <c r="AW154" s="298"/>
      <c r="AX154" s="298"/>
      <c r="AY154" s="298"/>
      <c r="AZ154" s="298"/>
      <c r="BA154" s="298"/>
      <c r="BB154" s="298"/>
      <c r="BC154" s="298"/>
      <c r="BD154" s="298"/>
      <c r="BE154" s="298"/>
      <c r="BF154" s="298"/>
      <c r="BG154" s="298"/>
      <c r="BH154" s="298"/>
      <c r="BI154" s="298"/>
      <c r="BJ154" s="298"/>
      <c r="BK154" s="298"/>
      <c r="BL154" s="298"/>
      <c r="BM154" s="298"/>
      <c r="BN154" s="298"/>
      <c r="BO154" s="298"/>
      <c r="BP154" s="298"/>
      <c r="BQ154" s="298"/>
      <c r="BR154" s="298"/>
      <c r="BS154" s="298"/>
      <c r="BT154" s="298"/>
      <c r="BU154" s="298"/>
      <c r="BV154" s="298"/>
      <c r="BW154" s="298"/>
      <c r="BX154" s="299"/>
      <c r="BY154" s="299"/>
      <c r="BZ154" s="299"/>
      <c r="CA154" s="299"/>
      <c r="CB154" s="299"/>
      <c r="CC154" s="299"/>
      <c r="CD154" s="299"/>
      <c r="CE154" s="299"/>
      <c r="CF154" s="299"/>
      <c r="CG154" s="299"/>
      <c r="CH154" s="299"/>
      <c r="CI154" s="299"/>
      <c r="CJ154" s="299"/>
      <c r="CK154" s="299"/>
      <c r="CL154" s="299"/>
      <c r="CM154" s="299"/>
      <c r="CN154" s="299"/>
      <c r="CO154" s="299"/>
      <c r="CP154" s="299"/>
      <c r="CQ154" s="299"/>
      <c r="CR154" s="299"/>
      <c r="CS154" s="299"/>
      <c r="CT154" s="299"/>
      <c r="CU154" s="299"/>
      <c r="CV154" s="299"/>
      <c r="CW154" s="299"/>
      <c r="CX154" s="299"/>
      <c r="CY154" s="299"/>
      <c r="CZ154" s="299"/>
      <c r="DA154" s="299"/>
      <c r="DB154" s="299"/>
      <c r="DC154" s="299"/>
      <c r="DD154" s="299"/>
      <c r="DE154" s="299"/>
      <c r="DF154" s="299"/>
      <c r="DG154" s="299"/>
      <c r="DH154" s="299"/>
      <c r="DI154" s="299"/>
      <c r="DJ154" s="299"/>
      <c r="DK154" s="299"/>
      <c r="DL154" s="299"/>
      <c r="DM154" s="299"/>
      <c r="DN154" s="299"/>
      <c r="DO154" s="299"/>
      <c r="DP154" s="299"/>
      <c r="DQ154" s="299"/>
      <c r="DR154" s="299"/>
      <c r="DS154" s="298"/>
      <c r="DT154" s="298"/>
      <c r="DU154" s="298"/>
      <c r="DV154" s="298"/>
      <c r="DW154" s="298"/>
      <c r="DX154" s="298"/>
      <c r="DY154" s="298"/>
      <c r="DZ154" s="298"/>
      <c r="EA154" s="298"/>
      <c r="EB154" s="298"/>
      <c r="EC154" s="298"/>
      <c r="ED154" s="298"/>
      <c r="EE154" s="298"/>
      <c r="EF154" s="298"/>
      <c r="EG154" s="298"/>
    </row>
    <row r="155" spans="49:137" ht="11.75" customHeight="1" x14ac:dyDescent="0.15">
      <c r="AW155" s="298"/>
      <c r="AX155" s="298"/>
      <c r="AY155" s="298"/>
      <c r="AZ155" s="298"/>
      <c r="BA155" s="298"/>
      <c r="BB155" s="298"/>
      <c r="BC155" s="298"/>
      <c r="BD155" s="298"/>
      <c r="BE155" s="298"/>
      <c r="BF155" s="298"/>
      <c r="BG155" s="298"/>
      <c r="BH155" s="298"/>
      <c r="BI155" s="298"/>
      <c r="BJ155" s="298"/>
      <c r="BK155" s="298"/>
      <c r="BL155" s="298"/>
      <c r="BM155" s="298"/>
      <c r="BN155" s="298"/>
      <c r="BO155" s="298"/>
      <c r="BP155" s="298"/>
      <c r="BQ155" s="298"/>
      <c r="BR155" s="298"/>
      <c r="BS155" s="298"/>
      <c r="BT155" s="298"/>
      <c r="BU155" s="298"/>
      <c r="BV155" s="298"/>
      <c r="BW155" s="298"/>
      <c r="BX155" s="299"/>
      <c r="BY155" s="299"/>
      <c r="BZ155" s="299"/>
      <c r="CA155" s="299"/>
      <c r="CB155" s="299"/>
      <c r="CC155" s="299"/>
      <c r="CD155" s="299"/>
      <c r="CE155" s="299"/>
      <c r="CF155" s="299"/>
      <c r="CG155" s="299"/>
      <c r="CH155" s="299"/>
      <c r="CI155" s="299"/>
      <c r="CJ155" s="299"/>
      <c r="CK155" s="299"/>
      <c r="CL155" s="299"/>
      <c r="CM155" s="299"/>
      <c r="CN155" s="299"/>
      <c r="CO155" s="299"/>
      <c r="CP155" s="299"/>
      <c r="CQ155" s="299"/>
      <c r="CR155" s="299"/>
      <c r="CS155" s="299"/>
      <c r="CT155" s="299"/>
      <c r="CU155" s="299"/>
      <c r="CV155" s="299"/>
      <c r="CW155" s="299"/>
      <c r="CX155" s="299"/>
      <c r="CY155" s="299"/>
      <c r="CZ155" s="299"/>
      <c r="DA155" s="299"/>
      <c r="DB155" s="299"/>
      <c r="DC155" s="299"/>
      <c r="DD155" s="299"/>
      <c r="DE155" s="299"/>
      <c r="DF155" s="299"/>
      <c r="DG155" s="299"/>
      <c r="DH155" s="299"/>
      <c r="DI155" s="299"/>
      <c r="DJ155" s="299"/>
      <c r="DK155" s="299"/>
      <c r="DL155" s="299"/>
      <c r="DM155" s="299"/>
      <c r="DN155" s="299"/>
      <c r="DO155" s="299"/>
      <c r="DP155" s="299"/>
      <c r="DQ155" s="299"/>
      <c r="DR155" s="299"/>
      <c r="DS155" s="298"/>
      <c r="DT155" s="298"/>
      <c r="DU155" s="298"/>
      <c r="DV155" s="298"/>
      <c r="DW155" s="298"/>
      <c r="DX155" s="298"/>
      <c r="DY155" s="298"/>
      <c r="DZ155" s="298"/>
      <c r="EA155" s="298"/>
      <c r="EB155" s="298"/>
      <c r="EC155" s="298"/>
      <c r="ED155" s="298"/>
      <c r="EE155" s="298"/>
      <c r="EF155" s="298"/>
      <c r="EG155" s="298"/>
    </row>
    <row r="156" spans="49:137" ht="11.75" customHeight="1" x14ac:dyDescent="0.15">
      <c r="AW156" s="298"/>
      <c r="AX156" s="298"/>
      <c r="AY156" s="298"/>
      <c r="AZ156" s="298"/>
      <c r="BA156" s="298"/>
      <c r="BB156" s="298"/>
      <c r="BC156" s="298"/>
      <c r="BD156" s="298"/>
      <c r="BE156" s="298"/>
      <c r="BF156" s="298"/>
      <c r="BG156" s="298"/>
      <c r="BH156" s="298"/>
      <c r="BI156" s="298"/>
      <c r="BJ156" s="298"/>
      <c r="BK156" s="298"/>
      <c r="BL156" s="298"/>
      <c r="BM156" s="298"/>
      <c r="BN156" s="298"/>
      <c r="BO156" s="298"/>
      <c r="BP156" s="298"/>
      <c r="BQ156" s="298"/>
      <c r="BR156" s="298"/>
      <c r="BS156" s="298"/>
      <c r="BT156" s="298"/>
      <c r="BU156" s="298"/>
      <c r="BV156" s="298"/>
      <c r="BW156" s="298"/>
      <c r="BX156" s="299"/>
      <c r="BY156" s="299"/>
      <c r="BZ156" s="299"/>
      <c r="CA156" s="299"/>
      <c r="CB156" s="299"/>
      <c r="CC156" s="299"/>
      <c r="CD156" s="299"/>
      <c r="CE156" s="299"/>
      <c r="CF156" s="299"/>
      <c r="CG156" s="299"/>
      <c r="CH156" s="299"/>
      <c r="CI156" s="299"/>
      <c r="CJ156" s="299"/>
      <c r="CK156" s="299"/>
      <c r="CL156" s="299"/>
      <c r="CM156" s="299"/>
      <c r="CN156" s="299"/>
      <c r="CO156" s="299"/>
      <c r="CP156" s="299"/>
      <c r="CQ156" s="299"/>
      <c r="CR156" s="299"/>
      <c r="CS156" s="299"/>
      <c r="CT156" s="299"/>
      <c r="CU156" s="299"/>
      <c r="CV156" s="299"/>
      <c r="CW156" s="299"/>
      <c r="CX156" s="299"/>
      <c r="CY156" s="299"/>
      <c r="CZ156" s="299"/>
      <c r="DA156" s="299"/>
      <c r="DB156" s="299"/>
      <c r="DC156" s="299"/>
      <c r="DD156" s="299"/>
      <c r="DE156" s="299"/>
      <c r="DF156" s="299"/>
      <c r="DG156" s="299"/>
      <c r="DH156" s="299"/>
      <c r="DI156" s="299"/>
      <c r="DJ156" s="299"/>
      <c r="DK156" s="299"/>
      <c r="DL156" s="299"/>
      <c r="DM156" s="299"/>
      <c r="DN156" s="299"/>
      <c r="DO156" s="299"/>
      <c r="DP156" s="299"/>
      <c r="DQ156" s="299"/>
      <c r="DR156" s="299"/>
      <c r="DS156" s="298"/>
      <c r="DT156" s="298"/>
      <c r="DU156" s="298"/>
      <c r="DV156" s="298"/>
      <c r="DW156" s="298"/>
      <c r="DX156" s="298"/>
      <c r="DY156" s="298"/>
      <c r="DZ156" s="298"/>
      <c r="EA156" s="298"/>
      <c r="EB156" s="298"/>
      <c r="EC156" s="298"/>
      <c r="ED156" s="298"/>
      <c r="EE156" s="298"/>
      <c r="EF156" s="298"/>
      <c r="EG156" s="298"/>
    </row>
    <row r="157" spans="49:137" ht="11.75" customHeight="1" x14ac:dyDescent="0.15">
      <c r="AW157" s="298"/>
      <c r="AX157" s="298"/>
      <c r="AY157" s="298"/>
      <c r="AZ157" s="298"/>
      <c r="BA157" s="298"/>
      <c r="BB157" s="298"/>
      <c r="BC157" s="298"/>
      <c r="BD157" s="298"/>
      <c r="BE157" s="298"/>
      <c r="BF157" s="298"/>
      <c r="BG157" s="298"/>
      <c r="BH157" s="298"/>
      <c r="BI157" s="298"/>
      <c r="BJ157" s="298"/>
      <c r="BK157" s="298"/>
      <c r="BL157" s="298"/>
      <c r="BM157" s="298"/>
      <c r="BN157" s="298"/>
      <c r="BO157" s="298"/>
      <c r="BP157" s="298"/>
      <c r="BQ157" s="298"/>
      <c r="BR157" s="298"/>
      <c r="BS157" s="298"/>
      <c r="BT157" s="298"/>
      <c r="BU157" s="298"/>
      <c r="BV157" s="298"/>
      <c r="BW157" s="298"/>
      <c r="BX157" s="299"/>
      <c r="BY157" s="299"/>
      <c r="BZ157" s="299"/>
      <c r="CA157" s="299"/>
      <c r="CB157" s="299"/>
      <c r="CC157" s="299"/>
      <c r="CD157" s="299"/>
      <c r="CE157" s="299"/>
      <c r="CF157" s="299"/>
      <c r="CG157" s="299"/>
      <c r="CH157" s="299"/>
      <c r="CI157" s="299"/>
      <c r="CJ157" s="299"/>
      <c r="CK157" s="299"/>
      <c r="CL157" s="299"/>
      <c r="CM157" s="299"/>
      <c r="CN157" s="299"/>
      <c r="CO157" s="299"/>
      <c r="CP157" s="299"/>
      <c r="CQ157" s="299"/>
      <c r="CR157" s="299"/>
      <c r="CS157" s="299"/>
      <c r="CT157" s="299"/>
      <c r="CU157" s="299"/>
      <c r="CV157" s="299"/>
      <c r="CW157" s="299"/>
      <c r="CX157" s="299"/>
      <c r="CY157" s="299"/>
      <c r="CZ157" s="299"/>
      <c r="DA157" s="299"/>
      <c r="DB157" s="299"/>
      <c r="DC157" s="299"/>
      <c r="DD157" s="299"/>
      <c r="DE157" s="299"/>
      <c r="DF157" s="299"/>
      <c r="DG157" s="299"/>
      <c r="DH157" s="299"/>
      <c r="DI157" s="299"/>
      <c r="DJ157" s="299"/>
      <c r="DK157" s="299"/>
      <c r="DL157" s="299"/>
      <c r="DM157" s="299"/>
      <c r="DN157" s="299"/>
      <c r="DO157" s="299"/>
      <c r="DP157" s="299"/>
      <c r="DQ157" s="299"/>
      <c r="DR157" s="299"/>
      <c r="DS157" s="298"/>
      <c r="DT157" s="298"/>
      <c r="DU157" s="298"/>
      <c r="DV157" s="298"/>
      <c r="DW157" s="298"/>
      <c r="DX157" s="298"/>
      <c r="DY157" s="298"/>
      <c r="DZ157" s="298"/>
      <c r="EA157" s="298"/>
      <c r="EB157" s="298"/>
      <c r="EC157" s="298"/>
      <c r="ED157" s="298"/>
      <c r="EE157" s="298"/>
      <c r="EF157" s="298"/>
      <c r="EG157" s="298"/>
    </row>
    <row r="158" spans="49:137" ht="11.75" customHeight="1" x14ac:dyDescent="0.15">
      <c r="AW158" s="298"/>
      <c r="AX158" s="298"/>
      <c r="AY158" s="298"/>
      <c r="AZ158" s="298"/>
      <c r="BA158" s="298"/>
      <c r="BB158" s="298"/>
      <c r="BC158" s="298"/>
      <c r="BD158" s="298"/>
      <c r="BE158" s="298"/>
      <c r="BF158" s="298"/>
      <c r="BG158" s="298"/>
      <c r="BH158" s="298"/>
      <c r="BI158" s="298"/>
      <c r="BJ158" s="298"/>
      <c r="BK158" s="298"/>
      <c r="BL158" s="298"/>
      <c r="BM158" s="298"/>
      <c r="BN158" s="298"/>
      <c r="BO158" s="298"/>
      <c r="BP158" s="298"/>
      <c r="BQ158" s="298"/>
      <c r="BR158" s="298"/>
      <c r="BS158" s="298"/>
      <c r="BT158" s="298"/>
      <c r="BU158" s="298"/>
      <c r="BV158" s="298"/>
      <c r="BW158" s="298"/>
      <c r="BX158" s="299"/>
      <c r="BY158" s="299"/>
      <c r="BZ158" s="299"/>
      <c r="CA158" s="299"/>
      <c r="CB158" s="299"/>
      <c r="CC158" s="299"/>
      <c r="CD158" s="299"/>
      <c r="CE158" s="299"/>
      <c r="CF158" s="299"/>
      <c r="CG158" s="299"/>
      <c r="CH158" s="299"/>
      <c r="CI158" s="299"/>
      <c r="CJ158" s="299"/>
      <c r="CK158" s="299"/>
      <c r="CL158" s="299"/>
      <c r="CM158" s="299"/>
      <c r="CN158" s="299"/>
      <c r="CO158" s="299"/>
      <c r="CP158" s="299"/>
      <c r="CQ158" s="299"/>
      <c r="CR158" s="299"/>
      <c r="CS158" s="299"/>
      <c r="CT158" s="299"/>
      <c r="CU158" s="299"/>
      <c r="CV158" s="299"/>
      <c r="CW158" s="299"/>
      <c r="CX158" s="299"/>
      <c r="CY158" s="299"/>
      <c r="CZ158" s="299"/>
      <c r="DA158" s="299"/>
      <c r="DB158" s="299"/>
      <c r="DC158" s="299"/>
      <c r="DD158" s="299"/>
      <c r="DE158" s="299"/>
      <c r="DF158" s="299"/>
      <c r="DG158" s="299"/>
      <c r="DH158" s="299"/>
      <c r="DI158" s="299"/>
      <c r="DJ158" s="299"/>
      <c r="DK158" s="299"/>
      <c r="DL158" s="299"/>
      <c r="DM158" s="299"/>
      <c r="DN158" s="299"/>
      <c r="DO158" s="299"/>
      <c r="DP158" s="299"/>
      <c r="DQ158" s="299"/>
      <c r="DR158" s="299"/>
      <c r="DS158" s="298"/>
      <c r="DT158" s="298"/>
      <c r="DU158" s="298"/>
      <c r="DV158" s="298"/>
      <c r="DW158" s="298"/>
      <c r="DX158" s="298"/>
      <c r="DY158" s="298"/>
      <c r="DZ158" s="298"/>
      <c r="EA158" s="298"/>
      <c r="EB158" s="298"/>
      <c r="EC158" s="298"/>
      <c r="ED158" s="298"/>
      <c r="EE158" s="298"/>
      <c r="EF158" s="298"/>
      <c r="EG158" s="298"/>
    </row>
    <row r="159" spans="49:137" ht="11.75" customHeight="1" x14ac:dyDescent="0.15">
      <c r="AW159" s="298"/>
      <c r="AX159" s="298"/>
      <c r="AY159" s="298"/>
      <c r="AZ159" s="298"/>
      <c r="BA159" s="298"/>
      <c r="BB159" s="298"/>
      <c r="BC159" s="298"/>
      <c r="BD159" s="298"/>
      <c r="BE159" s="298"/>
      <c r="BF159" s="298"/>
      <c r="BG159" s="298"/>
      <c r="BH159" s="298"/>
      <c r="BI159" s="298"/>
      <c r="BJ159" s="298"/>
      <c r="BK159" s="298"/>
      <c r="BL159" s="298"/>
      <c r="BM159" s="298"/>
      <c r="BN159" s="298"/>
      <c r="BO159" s="298"/>
      <c r="BP159" s="298"/>
      <c r="BQ159" s="298"/>
      <c r="BR159" s="298"/>
      <c r="BS159" s="298"/>
      <c r="BT159" s="298"/>
      <c r="BU159" s="298"/>
      <c r="BV159" s="298"/>
      <c r="BW159" s="298"/>
      <c r="BX159" s="299"/>
      <c r="BY159" s="299"/>
      <c r="BZ159" s="299"/>
      <c r="CA159" s="299"/>
      <c r="CB159" s="299"/>
      <c r="CC159" s="299"/>
      <c r="CD159" s="299"/>
      <c r="CE159" s="299"/>
      <c r="CF159" s="299"/>
      <c r="CG159" s="299"/>
      <c r="CH159" s="299"/>
      <c r="CI159" s="299"/>
      <c r="CJ159" s="299"/>
      <c r="CK159" s="299"/>
      <c r="CL159" s="299"/>
      <c r="CM159" s="299"/>
      <c r="CN159" s="299"/>
      <c r="CO159" s="299"/>
      <c r="CP159" s="299"/>
      <c r="CQ159" s="299"/>
      <c r="CR159" s="299"/>
      <c r="CS159" s="299"/>
      <c r="CT159" s="299"/>
      <c r="CU159" s="299"/>
      <c r="CV159" s="299"/>
      <c r="CW159" s="299"/>
      <c r="CX159" s="299"/>
      <c r="CY159" s="299"/>
      <c r="CZ159" s="299"/>
      <c r="DA159" s="299"/>
      <c r="DB159" s="299"/>
      <c r="DC159" s="299"/>
      <c r="DD159" s="299"/>
      <c r="DE159" s="299"/>
      <c r="DF159" s="299"/>
      <c r="DG159" s="299"/>
      <c r="DH159" s="299"/>
      <c r="DI159" s="299"/>
      <c r="DJ159" s="299"/>
      <c r="DK159" s="299"/>
      <c r="DL159" s="299"/>
      <c r="DM159" s="299"/>
      <c r="DN159" s="299"/>
      <c r="DO159" s="299"/>
      <c r="DP159" s="299"/>
      <c r="DQ159" s="299"/>
      <c r="DR159" s="299"/>
      <c r="DS159" s="298"/>
      <c r="DT159" s="298"/>
      <c r="DU159" s="298"/>
      <c r="DV159" s="298"/>
      <c r="DW159" s="298"/>
      <c r="DX159" s="298"/>
      <c r="DY159" s="298"/>
      <c r="DZ159" s="298"/>
      <c r="EA159" s="298"/>
      <c r="EB159" s="298"/>
      <c r="EC159" s="298"/>
      <c r="ED159" s="298"/>
      <c r="EE159" s="298"/>
      <c r="EF159" s="298"/>
      <c r="EG159" s="298"/>
    </row>
    <row r="160" spans="49:137" ht="11.75" customHeight="1" x14ac:dyDescent="0.15">
      <c r="AW160" s="298"/>
      <c r="AX160" s="298"/>
      <c r="AY160" s="298"/>
      <c r="AZ160" s="298"/>
      <c r="BA160" s="298"/>
      <c r="BB160" s="298"/>
      <c r="BC160" s="298"/>
      <c r="BD160" s="298"/>
      <c r="BE160" s="298"/>
      <c r="BF160" s="298"/>
      <c r="BG160" s="298"/>
      <c r="BH160" s="298"/>
      <c r="BI160" s="298"/>
      <c r="BJ160" s="298"/>
      <c r="BK160" s="298"/>
      <c r="BL160" s="298"/>
      <c r="BM160" s="298"/>
      <c r="BN160" s="298"/>
      <c r="BO160" s="298"/>
      <c r="BP160" s="298"/>
      <c r="BQ160" s="298"/>
      <c r="BR160" s="298"/>
      <c r="BS160" s="298"/>
      <c r="BT160" s="298"/>
      <c r="BU160" s="298"/>
      <c r="BV160" s="298"/>
      <c r="BW160" s="298"/>
      <c r="BX160" s="299"/>
      <c r="BY160" s="299"/>
      <c r="BZ160" s="299"/>
      <c r="CA160" s="299"/>
      <c r="CB160" s="299"/>
      <c r="CC160" s="299"/>
      <c r="CD160" s="299"/>
      <c r="CE160" s="299"/>
      <c r="CF160" s="299"/>
      <c r="CG160" s="299"/>
      <c r="CH160" s="299"/>
      <c r="CI160" s="299"/>
      <c r="CJ160" s="299"/>
      <c r="CK160" s="299"/>
      <c r="CL160" s="299"/>
      <c r="CM160" s="299"/>
      <c r="CN160" s="299"/>
      <c r="CO160" s="299"/>
      <c r="CP160" s="299"/>
      <c r="CQ160" s="299"/>
      <c r="CR160" s="299"/>
      <c r="CS160" s="299"/>
      <c r="CT160" s="299"/>
      <c r="CU160" s="299"/>
      <c r="CV160" s="299"/>
      <c r="CW160" s="299"/>
      <c r="CX160" s="299"/>
      <c r="CY160" s="299"/>
      <c r="CZ160" s="299"/>
      <c r="DA160" s="299"/>
      <c r="DB160" s="299"/>
      <c r="DC160" s="299"/>
      <c r="DD160" s="299"/>
      <c r="DE160" s="299"/>
      <c r="DF160" s="299"/>
      <c r="DG160" s="299"/>
      <c r="DH160" s="299"/>
      <c r="DI160" s="299"/>
      <c r="DJ160" s="299"/>
      <c r="DK160" s="299"/>
      <c r="DL160" s="299"/>
      <c r="DM160" s="299"/>
      <c r="DN160" s="299"/>
      <c r="DO160" s="299"/>
      <c r="DP160" s="299"/>
      <c r="DQ160" s="299"/>
      <c r="DR160" s="299"/>
      <c r="DS160" s="298"/>
      <c r="DT160" s="298"/>
      <c r="DU160" s="298"/>
      <c r="DV160" s="298"/>
      <c r="DW160" s="298"/>
      <c r="DX160" s="298"/>
      <c r="DY160" s="298"/>
      <c r="DZ160" s="298"/>
      <c r="EA160" s="298"/>
      <c r="EB160" s="298"/>
      <c r="EC160" s="298"/>
      <c r="ED160" s="298"/>
      <c r="EE160" s="298"/>
      <c r="EF160" s="298"/>
      <c r="EG160" s="298"/>
    </row>
    <row r="161" spans="49:137" ht="11.75" customHeight="1" x14ac:dyDescent="0.15">
      <c r="AW161" s="298"/>
      <c r="AX161" s="298"/>
      <c r="AY161" s="298"/>
      <c r="AZ161" s="298"/>
      <c r="BA161" s="298"/>
      <c r="BB161" s="298"/>
      <c r="BC161" s="298"/>
      <c r="BD161" s="298"/>
      <c r="BE161" s="298"/>
      <c r="BF161" s="298"/>
      <c r="BG161" s="298"/>
      <c r="BH161" s="298"/>
      <c r="BI161" s="298"/>
      <c r="BJ161" s="298"/>
      <c r="BK161" s="298"/>
      <c r="BL161" s="298"/>
      <c r="BM161" s="298"/>
      <c r="BN161" s="298"/>
      <c r="BO161" s="298"/>
      <c r="BP161" s="298"/>
      <c r="BQ161" s="298"/>
      <c r="BR161" s="298"/>
      <c r="BS161" s="298"/>
      <c r="BT161" s="298"/>
      <c r="BU161" s="298"/>
      <c r="BV161" s="298"/>
      <c r="BW161" s="298"/>
      <c r="BX161" s="299"/>
      <c r="BY161" s="299"/>
      <c r="BZ161" s="299"/>
      <c r="CA161" s="299"/>
      <c r="CB161" s="299"/>
      <c r="CC161" s="299"/>
      <c r="CD161" s="299"/>
      <c r="CE161" s="299"/>
      <c r="CF161" s="299"/>
      <c r="CG161" s="299"/>
      <c r="CH161" s="299"/>
      <c r="CI161" s="299"/>
      <c r="CJ161" s="299"/>
      <c r="CK161" s="299"/>
      <c r="CL161" s="299"/>
      <c r="CM161" s="299"/>
      <c r="CN161" s="299"/>
      <c r="CO161" s="299"/>
      <c r="CP161" s="299"/>
      <c r="CQ161" s="299"/>
      <c r="CR161" s="299"/>
      <c r="CS161" s="299"/>
      <c r="CT161" s="299"/>
      <c r="CU161" s="299"/>
      <c r="CV161" s="299"/>
      <c r="CW161" s="299"/>
      <c r="CX161" s="299"/>
      <c r="CY161" s="299"/>
      <c r="CZ161" s="299"/>
      <c r="DA161" s="299"/>
      <c r="DB161" s="299"/>
      <c r="DC161" s="299"/>
      <c r="DD161" s="299"/>
      <c r="DE161" s="299"/>
      <c r="DF161" s="299"/>
      <c r="DG161" s="299"/>
      <c r="DH161" s="299"/>
      <c r="DI161" s="299"/>
      <c r="DJ161" s="299"/>
      <c r="DK161" s="299"/>
      <c r="DL161" s="299"/>
      <c r="DM161" s="299"/>
      <c r="DN161" s="299"/>
      <c r="DO161" s="299"/>
      <c r="DP161" s="299"/>
      <c r="DQ161" s="299"/>
      <c r="DR161" s="299"/>
      <c r="DS161" s="298"/>
      <c r="DT161" s="298"/>
      <c r="DU161" s="298"/>
      <c r="DV161" s="298"/>
      <c r="DW161" s="298"/>
      <c r="DX161" s="298"/>
      <c r="DY161" s="298"/>
      <c r="DZ161" s="298"/>
      <c r="EA161" s="298"/>
      <c r="EB161" s="298"/>
      <c r="EC161" s="298"/>
      <c r="ED161" s="298"/>
      <c r="EE161" s="298"/>
      <c r="EF161" s="298"/>
      <c r="EG161" s="298"/>
    </row>
    <row r="162" spans="49:137" ht="11.75" customHeight="1" x14ac:dyDescent="0.15">
      <c r="AW162" s="298"/>
      <c r="AX162" s="298"/>
      <c r="AY162" s="298"/>
      <c r="AZ162" s="298"/>
      <c r="BA162" s="298"/>
      <c r="BB162" s="298"/>
      <c r="BC162" s="298"/>
      <c r="BD162" s="298"/>
      <c r="BE162" s="298"/>
      <c r="BF162" s="298"/>
      <c r="BG162" s="298"/>
      <c r="BH162" s="298"/>
      <c r="BI162" s="298"/>
      <c r="BJ162" s="298"/>
      <c r="BK162" s="298"/>
      <c r="BL162" s="298"/>
      <c r="BM162" s="298"/>
      <c r="BN162" s="298"/>
      <c r="BO162" s="298"/>
      <c r="BP162" s="298"/>
      <c r="BQ162" s="298"/>
      <c r="BR162" s="298"/>
      <c r="BS162" s="298"/>
      <c r="BT162" s="298"/>
      <c r="BU162" s="298"/>
      <c r="BV162" s="298"/>
      <c r="BW162" s="298"/>
      <c r="BX162" s="299"/>
      <c r="BY162" s="299"/>
      <c r="BZ162" s="299"/>
      <c r="CA162" s="299"/>
      <c r="CB162" s="299"/>
      <c r="CC162" s="299"/>
      <c r="CD162" s="299"/>
      <c r="CE162" s="299"/>
      <c r="CF162" s="299"/>
      <c r="CG162" s="299"/>
      <c r="CH162" s="299"/>
      <c r="CI162" s="299"/>
      <c r="CJ162" s="299"/>
      <c r="CK162" s="299"/>
      <c r="CL162" s="299"/>
      <c r="CM162" s="299"/>
      <c r="CN162" s="299"/>
      <c r="CO162" s="299"/>
      <c r="CP162" s="299"/>
      <c r="CQ162" s="299"/>
      <c r="CR162" s="299"/>
      <c r="CS162" s="299"/>
      <c r="CT162" s="299"/>
      <c r="CU162" s="299"/>
      <c r="CV162" s="299"/>
      <c r="CW162" s="299"/>
      <c r="CX162" s="299"/>
      <c r="CY162" s="299"/>
      <c r="CZ162" s="299"/>
      <c r="DA162" s="299"/>
      <c r="DB162" s="299"/>
      <c r="DC162" s="299"/>
      <c r="DD162" s="299"/>
      <c r="DE162" s="299"/>
      <c r="DF162" s="299"/>
      <c r="DG162" s="299"/>
      <c r="DH162" s="299"/>
      <c r="DI162" s="299"/>
      <c r="DJ162" s="299"/>
      <c r="DK162" s="299"/>
      <c r="DL162" s="299"/>
      <c r="DM162" s="299"/>
      <c r="DN162" s="299"/>
      <c r="DO162" s="299"/>
      <c r="DP162" s="299"/>
      <c r="DQ162" s="299"/>
      <c r="DR162" s="299"/>
      <c r="DS162" s="298"/>
      <c r="DT162" s="298"/>
      <c r="DU162" s="298"/>
      <c r="DV162" s="298"/>
      <c r="DW162" s="298"/>
      <c r="DX162" s="298"/>
      <c r="DY162" s="298"/>
      <c r="DZ162" s="298"/>
      <c r="EA162" s="298"/>
      <c r="EB162" s="298"/>
      <c r="EC162" s="298"/>
      <c r="ED162" s="298"/>
      <c r="EE162" s="298"/>
      <c r="EF162" s="298"/>
      <c r="EG162" s="298"/>
    </row>
    <row r="163" spans="49:137" ht="11.75" customHeight="1" x14ac:dyDescent="0.15">
      <c r="AW163" s="298"/>
      <c r="AX163" s="298"/>
      <c r="AY163" s="298"/>
      <c r="AZ163" s="298"/>
      <c r="BA163" s="298"/>
      <c r="BB163" s="298"/>
      <c r="BC163" s="298"/>
      <c r="BD163" s="298"/>
      <c r="BE163" s="298"/>
      <c r="BF163" s="298"/>
      <c r="BG163" s="298"/>
      <c r="BH163" s="298"/>
      <c r="BI163" s="298"/>
      <c r="BJ163" s="298"/>
      <c r="BK163" s="298"/>
      <c r="BL163" s="298"/>
      <c r="BM163" s="298"/>
      <c r="BN163" s="298"/>
      <c r="BO163" s="298"/>
      <c r="BP163" s="298"/>
      <c r="BQ163" s="298"/>
      <c r="BR163" s="298"/>
      <c r="BS163" s="298"/>
      <c r="BT163" s="298"/>
      <c r="BU163" s="298"/>
      <c r="BV163" s="298"/>
      <c r="BW163" s="298"/>
      <c r="BX163" s="299"/>
      <c r="BY163" s="299"/>
      <c r="BZ163" s="299"/>
      <c r="CA163" s="299"/>
      <c r="CB163" s="299"/>
      <c r="CC163" s="299"/>
      <c r="CD163" s="299"/>
      <c r="CE163" s="299"/>
      <c r="CF163" s="299"/>
      <c r="CG163" s="299"/>
      <c r="CH163" s="299"/>
      <c r="CI163" s="299"/>
      <c r="CJ163" s="299"/>
      <c r="CK163" s="299"/>
      <c r="CL163" s="299"/>
      <c r="CM163" s="299"/>
      <c r="CN163" s="299"/>
      <c r="CO163" s="299"/>
      <c r="CP163" s="299"/>
      <c r="CQ163" s="299"/>
      <c r="CR163" s="299"/>
      <c r="CS163" s="299"/>
      <c r="CT163" s="299"/>
      <c r="CU163" s="299"/>
      <c r="CV163" s="299"/>
      <c r="CW163" s="299"/>
      <c r="CX163" s="299"/>
      <c r="CY163" s="299"/>
      <c r="CZ163" s="299"/>
      <c r="DA163" s="299"/>
      <c r="DB163" s="299"/>
      <c r="DC163" s="299"/>
      <c r="DD163" s="299"/>
      <c r="DE163" s="299"/>
      <c r="DF163" s="299"/>
      <c r="DG163" s="299"/>
      <c r="DH163" s="299"/>
      <c r="DI163" s="299"/>
      <c r="DJ163" s="299"/>
      <c r="DK163" s="299"/>
      <c r="DL163" s="299"/>
      <c r="DM163" s="299"/>
      <c r="DN163" s="299"/>
      <c r="DO163" s="299"/>
      <c r="DP163" s="299"/>
      <c r="DQ163" s="299"/>
      <c r="DR163" s="299"/>
      <c r="DS163" s="298"/>
      <c r="DT163" s="298"/>
      <c r="DU163" s="298"/>
      <c r="DV163" s="298"/>
      <c r="DW163" s="298"/>
      <c r="DX163" s="298"/>
      <c r="DY163" s="298"/>
      <c r="DZ163" s="298"/>
      <c r="EA163" s="298"/>
      <c r="EB163" s="298"/>
      <c r="EC163" s="298"/>
      <c r="ED163" s="298"/>
      <c r="EE163" s="298"/>
      <c r="EF163" s="298"/>
      <c r="EG163" s="298"/>
    </row>
    <row r="164" spans="49:137" ht="11.75" customHeight="1" x14ac:dyDescent="0.15">
      <c r="AW164" s="298"/>
      <c r="AX164" s="298"/>
      <c r="AY164" s="298"/>
      <c r="AZ164" s="298"/>
      <c r="BA164" s="298"/>
      <c r="BB164" s="298"/>
      <c r="BC164" s="298"/>
      <c r="BD164" s="298"/>
      <c r="BE164" s="298"/>
      <c r="BF164" s="298"/>
      <c r="BG164" s="298"/>
      <c r="BH164" s="298"/>
      <c r="BI164" s="298"/>
      <c r="BJ164" s="298"/>
      <c r="BK164" s="298"/>
      <c r="BL164" s="298"/>
      <c r="BM164" s="298"/>
      <c r="BN164" s="298"/>
      <c r="BO164" s="298"/>
      <c r="BP164" s="298"/>
      <c r="BQ164" s="298"/>
      <c r="BR164" s="298"/>
      <c r="BS164" s="298"/>
      <c r="BT164" s="298"/>
      <c r="BU164" s="298"/>
      <c r="BV164" s="298"/>
      <c r="BW164" s="298"/>
      <c r="BX164" s="299"/>
      <c r="BY164" s="299"/>
      <c r="BZ164" s="299"/>
      <c r="CA164" s="299"/>
      <c r="CB164" s="299"/>
      <c r="CC164" s="299"/>
      <c r="CD164" s="299"/>
      <c r="CE164" s="299"/>
      <c r="CF164" s="299"/>
      <c r="CG164" s="299"/>
      <c r="CH164" s="299"/>
      <c r="CI164" s="299"/>
      <c r="CJ164" s="299"/>
      <c r="CK164" s="299"/>
      <c r="CL164" s="299"/>
      <c r="CM164" s="299"/>
      <c r="CN164" s="299"/>
      <c r="CO164" s="299"/>
      <c r="CP164" s="299"/>
      <c r="CQ164" s="299"/>
      <c r="CR164" s="299"/>
      <c r="CS164" s="299"/>
      <c r="CT164" s="299"/>
      <c r="CU164" s="299"/>
      <c r="CV164" s="299"/>
      <c r="CW164" s="299"/>
      <c r="CX164" s="299"/>
      <c r="CY164" s="299"/>
      <c r="CZ164" s="299"/>
      <c r="DA164" s="299"/>
      <c r="DB164" s="299"/>
      <c r="DC164" s="299"/>
      <c r="DD164" s="299"/>
      <c r="DE164" s="299"/>
      <c r="DF164" s="299"/>
      <c r="DG164" s="299"/>
      <c r="DH164" s="299"/>
      <c r="DI164" s="299"/>
      <c r="DJ164" s="299"/>
      <c r="DK164" s="299"/>
      <c r="DL164" s="299"/>
      <c r="DM164" s="299"/>
      <c r="DN164" s="299"/>
      <c r="DO164" s="299"/>
      <c r="DP164" s="299"/>
      <c r="DQ164" s="299"/>
      <c r="DR164" s="299"/>
      <c r="DS164" s="298"/>
      <c r="DT164" s="298"/>
      <c r="DU164" s="298"/>
      <c r="DV164" s="298"/>
      <c r="DW164" s="298"/>
      <c r="DX164" s="298"/>
      <c r="DY164" s="298"/>
      <c r="DZ164" s="298"/>
      <c r="EA164" s="298"/>
      <c r="EB164" s="298"/>
      <c r="EC164" s="298"/>
      <c r="ED164" s="298"/>
      <c r="EE164" s="298"/>
      <c r="EF164" s="298"/>
      <c r="EG164" s="298"/>
    </row>
    <row r="165" spans="49:137" ht="11.75" customHeight="1" x14ac:dyDescent="0.15">
      <c r="AW165" s="298"/>
      <c r="AX165" s="298"/>
      <c r="AY165" s="298"/>
      <c r="AZ165" s="298"/>
      <c r="BA165" s="298"/>
      <c r="BB165" s="298"/>
      <c r="BC165" s="298"/>
      <c r="BD165" s="298"/>
      <c r="BE165" s="298"/>
      <c r="BF165" s="298"/>
      <c r="BG165" s="298"/>
      <c r="BH165" s="298"/>
      <c r="BI165" s="298"/>
      <c r="BJ165" s="298"/>
      <c r="BK165" s="298"/>
      <c r="BL165" s="298"/>
      <c r="BM165" s="298"/>
      <c r="BN165" s="298"/>
      <c r="BO165" s="298"/>
      <c r="BP165" s="298"/>
      <c r="BQ165" s="298"/>
      <c r="BR165" s="298"/>
      <c r="BS165" s="298"/>
      <c r="BT165" s="298"/>
      <c r="BU165" s="298"/>
      <c r="BV165" s="298"/>
      <c r="BW165" s="298"/>
      <c r="BX165" s="299"/>
      <c r="BY165" s="299"/>
      <c r="BZ165" s="299"/>
      <c r="CA165" s="299"/>
      <c r="CB165" s="299"/>
      <c r="CC165" s="299"/>
      <c r="CD165" s="299"/>
      <c r="CE165" s="299"/>
      <c r="CF165" s="299"/>
      <c r="CG165" s="299"/>
      <c r="CH165" s="299"/>
      <c r="CI165" s="299"/>
      <c r="CJ165" s="299"/>
      <c r="CK165" s="299"/>
      <c r="CL165" s="299"/>
      <c r="CM165" s="299"/>
      <c r="CN165" s="299"/>
      <c r="CO165" s="299"/>
      <c r="CP165" s="299"/>
      <c r="CQ165" s="299"/>
      <c r="CR165" s="299"/>
      <c r="CS165" s="299"/>
      <c r="CT165" s="299"/>
      <c r="CU165" s="299"/>
      <c r="CV165" s="299"/>
      <c r="CW165" s="299"/>
      <c r="CX165" s="299"/>
      <c r="CY165" s="299"/>
      <c r="CZ165" s="299"/>
      <c r="DA165" s="299"/>
      <c r="DB165" s="299"/>
      <c r="DC165" s="299"/>
      <c r="DD165" s="299"/>
      <c r="DE165" s="299"/>
      <c r="DF165" s="299"/>
      <c r="DG165" s="299"/>
      <c r="DH165" s="299"/>
      <c r="DI165" s="299"/>
      <c r="DJ165" s="299"/>
      <c r="DK165" s="299"/>
      <c r="DL165" s="299"/>
      <c r="DM165" s="299"/>
      <c r="DN165" s="299"/>
      <c r="DO165" s="299"/>
      <c r="DP165" s="299"/>
      <c r="DQ165" s="299"/>
      <c r="DR165" s="299"/>
      <c r="DS165" s="298"/>
      <c r="DT165" s="298"/>
      <c r="DU165" s="298"/>
      <c r="DV165" s="298"/>
      <c r="DW165" s="298"/>
      <c r="DX165" s="298"/>
      <c r="DY165" s="298"/>
      <c r="DZ165" s="298"/>
      <c r="EA165" s="298"/>
      <c r="EB165" s="298"/>
      <c r="EC165" s="298"/>
      <c r="ED165" s="298"/>
      <c r="EE165" s="298"/>
      <c r="EF165" s="298"/>
      <c r="EG165" s="298"/>
    </row>
    <row r="166" spans="49:137" ht="11.75" customHeight="1" x14ac:dyDescent="0.15">
      <c r="AW166" s="298"/>
      <c r="AX166" s="298"/>
      <c r="AY166" s="298"/>
      <c r="AZ166" s="298"/>
      <c r="BA166" s="298"/>
      <c r="BB166" s="298"/>
      <c r="BC166" s="298"/>
      <c r="BD166" s="298"/>
      <c r="BE166" s="298"/>
      <c r="BF166" s="298"/>
      <c r="BG166" s="298"/>
      <c r="BH166" s="298"/>
      <c r="BI166" s="298"/>
      <c r="BJ166" s="298"/>
      <c r="BK166" s="298"/>
      <c r="BL166" s="298"/>
      <c r="BM166" s="298"/>
      <c r="BN166" s="298"/>
      <c r="BO166" s="298"/>
      <c r="BP166" s="298"/>
      <c r="BQ166" s="298"/>
      <c r="BR166" s="298"/>
      <c r="BS166" s="298"/>
      <c r="BT166" s="298"/>
      <c r="BU166" s="298"/>
      <c r="BV166" s="298"/>
      <c r="BW166" s="298"/>
      <c r="BX166" s="299"/>
      <c r="BY166" s="299"/>
      <c r="BZ166" s="299"/>
      <c r="CA166" s="299"/>
      <c r="CB166" s="299"/>
      <c r="CC166" s="299"/>
      <c r="CD166" s="299"/>
      <c r="CE166" s="299"/>
      <c r="CF166" s="299"/>
      <c r="CG166" s="299"/>
      <c r="CH166" s="299"/>
      <c r="CI166" s="299"/>
      <c r="CJ166" s="299"/>
      <c r="CK166" s="299"/>
      <c r="CL166" s="299"/>
      <c r="CM166" s="299"/>
      <c r="CN166" s="299"/>
      <c r="CO166" s="299"/>
      <c r="CP166" s="299"/>
      <c r="CQ166" s="299"/>
      <c r="CR166" s="299"/>
      <c r="CS166" s="299"/>
      <c r="CT166" s="299"/>
      <c r="CU166" s="299"/>
      <c r="CV166" s="299"/>
      <c r="CW166" s="299"/>
      <c r="CX166" s="299"/>
      <c r="CY166" s="299"/>
      <c r="CZ166" s="299"/>
      <c r="DA166" s="299"/>
      <c r="DB166" s="299"/>
      <c r="DC166" s="299"/>
      <c r="DD166" s="299"/>
      <c r="DE166" s="299"/>
      <c r="DF166" s="299"/>
      <c r="DG166" s="299"/>
      <c r="DH166" s="299"/>
      <c r="DI166" s="299"/>
      <c r="DJ166" s="299"/>
      <c r="DK166" s="299"/>
      <c r="DL166" s="299"/>
      <c r="DM166" s="299"/>
      <c r="DN166" s="299"/>
      <c r="DO166" s="299"/>
      <c r="DP166" s="299"/>
      <c r="DQ166" s="299"/>
      <c r="DR166" s="299"/>
      <c r="DS166" s="298"/>
      <c r="DT166" s="298"/>
      <c r="DU166" s="298"/>
      <c r="DV166" s="298"/>
      <c r="DW166" s="298"/>
      <c r="DX166" s="298"/>
      <c r="DY166" s="298"/>
      <c r="DZ166" s="298"/>
      <c r="EA166" s="298"/>
      <c r="EB166" s="298"/>
      <c r="EC166" s="298"/>
      <c r="ED166" s="298"/>
      <c r="EE166" s="298"/>
      <c r="EF166" s="298"/>
      <c r="EG166" s="298"/>
    </row>
    <row r="167" spans="49:137" ht="11.75" customHeight="1" x14ac:dyDescent="0.15">
      <c r="AW167" s="298"/>
      <c r="AX167" s="298"/>
      <c r="AY167" s="298"/>
      <c r="AZ167" s="298"/>
      <c r="BA167" s="298"/>
      <c r="BB167" s="298"/>
      <c r="BC167" s="298"/>
      <c r="BD167" s="298"/>
      <c r="BE167" s="298"/>
      <c r="BF167" s="298"/>
      <c r="BG167" s="298"/>
      <c r="BH167" s="298"/>
      <c r="BI167" s="298"/>
      <c r="BJ167" s="298"/>
      <c r="BK167" s="298"/>
      <c r="BL167" s="298"/>
      <c r="BM167" s="298"/>
      <c r="BN167" s="298"/>
      <c r="BO167" s="298"/>
      <c r="BP167" s="298"/>
      <c r="BQ167" s="298"/>
      <c r="BR167" s="298"/>
      <c r="BS167" s="298"/>
      <c r="BT167" s="298"/>
      <c r="BU167" s="298"/>
      <c r="BV167" s="298"/>
      <c r="BW167" s="298"/>
      <c r="BX167" s="299"/>
      <c r="BY167" s="299"/>
      <c r="BZ167" s="299"/>
      <c r="CA167" s="299"/>
      <c r="CB167" s="299"/>
      <c r="CC167" s="299"/>
      <c r="CD167" s="299"/>
      <c r="CE167" s="299"/>
      <c r="CF167" s="299"/>
      <c r="CG167" s="299"/>
      <c r="CH167" s="299"/>
      <c r="CI167" s="299"/>
      <c r="CJ167" s="299"/>
      <c r="CK167" s="299"/>
      <c r="CL167" s="299"/>
      <c r="CM167" s="299"/>
      <c r="CN167" s="299"/>
      <c r="CO167" s="299"/>
      <c r="CP167" s="299"/>
      <c r="CQ167" s="299"/>
      <c r="CR167" s="299"/>
      <c r="CS167" s="299"/>
      <c r="CT167" s="299"/>
      <c r="CU167" s="299"/>
      <c r="CV167" s="299"/>
      <c r="CW167" s="299"/>
      <c r="CX167" s="299"/>
      <c r="CY167" s="299"/>
      <c r="CZ167" s="299"/>
      <c r="DA167" s="299"/>
      <c r="DB167" s="299"/>
      <c r="DC167" s="299"/>
      <c r="DD167" s="299"/>
      <c r="DE167" s="299"/>
      <c r="DF167" s="299"/>
      <c r="DG167" s="299"/>
      <c r="DH167" s="299"/>
      <c r="DI167" s="299"/>
      <c r="DJ167" s="299"/>
      <c r="DK167" s="299"/>
      <c r="DL167" s="299"/>
      <c r="DM167" s="299"/>
      <c r="DN167" s="299"/>
      <c r="DO167" s="299"/>
      <c r="DP167" s="299"/>
      <c r="DQ167" s="299"/>
      <c r="DR167" s="299"/>
      <c r="DS167" s="298"/>
      <c r="DT167" s="298"/>
      <c r="DU167" s="298"/>
      <c r="DV167" s="298"/>
      <c r="DW167" s="298"/>
      <c r="DX167" s="298"/>
      <c r="DY167" s="298"/>
      <c r="DZ167" s="298"/>
      <c r="EA167" s="298"/>
      <c r="EB167" s="298"/>
      <c r="EC167" s="298"/>
      <c r="ED167" s="298"/>
      <c r="EE167" s="298"/>
      <c r="EF167" s="298"/>
      <c r="EG167" s="298"/>
    </row>
    <row r="168" spans="49:137" ht="11.75" customHeight="1" x14ac:dyDescent="0.15">
      <c r="AW168" s="298"/>
      <c r="AX168" s="298"/>
      <c r="AY168" s="298"/>
      <c r="AZ168" s="298"/>
      <c r="BA168" s="298"/>
      <c r="BB168" s="298"/>
      <c r="BC168" s="298"/>
      <c r="BD168" s="298"/>
      <c r="BE168" s="298"/>
      <c r="BF168" s="298"/>
      <c r="BG168" s="298"/>
      <c r="BH168" s="298"/>
      <c r="BI168" s="298"/>
      <c r="BJ168" s="298"/>
      <c r="BK168" s="298"/>
      <c r="BL168" s="298"/>
      <c r="BM168" s="298"/>
      <c r="BN168" s="298"/>
      <c r="BO168" s="298"/>
      <c r="BP168" s="298"/>
      <c r="BQ168" s="298"/>
      <c r="BR168" s="298"/>
      <c r="BS168" s="298"/>
      <c r="BT168" s="298"/>
      <c r="BU168" s="298"/>
      <c r="BV168" s="298"/>
      <c r="BW168" s="298"/>
      <c r="BX168" s="299"/>
      <c r="BY168" s="299"/>
      <c r="BZ168" s="299"/>
      <c r="CA168" s="299"/>
      <c r="CB168" s="299"/>
      <c r="CC168" s="299"/>
      <c r="CD168" s="299"/>
      <c r="CE168" s="299"/>
      <c r="CF168" s="299"/>
      <c r="CG168" s="299"/>
      <c r="CH168" s="299"/>
      <c r="CI168" s="299"/>
      <c r="CJ168" s="299"/>
      <c r="CK168" s="299"/>
      <c r="CL168" s="299"/>
      <c r="CM168" s="299"/>
      <c r="CN168" s="299"/>
      <c r="CO168" s="299"/>
      <c r="CP168" s="299"/>
      <c r="CQ168" s="299"/>
      <c r="CR168" s="299"/>
      <c r="CS168" s="299"/>
      <c r="CT168" s="299"/>
      <c r="CU168" s="299"/>
      <c r="CV168" s="299"/>
      <c r="CW168" s="299"/>
      <c r="CX168" s="299"/>
      <c r="CY168" s="299"/>
      <c r="CZ168" s="299"/>
      <c r="DA168" s="299"/>
      <c r="DB168" s="299"/>
      <c r="DC168" s="299"/>
      <c r="DD168" s="299"/>
      <c r="DE168" s="299"/>
      <c r="DF168" s="299"/>
      <c r="DG168" s="299"/>
      <c r="DH168" s="299"/>
      <c r="DI168" s="299"/>
      <c r="DJ168" s="299"/>
      <c r="DK168" s="299"/>
      <c r="DL168" s="299"/>
      <c r="DM168" s="299"/>
      <c r="DN168" s="299"/>
      <c r="DO168" s="299"/>
      <c r="DP168" s="299"/>
      <c r="DQ168" s="299"/>
      <c r="DR168" s="299"/>
      <c r="DS168" s="298"/>
      <c r="DT168" s="298"/>
      <c r="DU168" s="298"/>
      <c r="DV168" s="298"/>
      <c r="DW168" s="298"/>
      <c r="DX168" s="298"/>
      <c r="DY168" s="298"/>
      <c r="DZ168" s="298"/>
      <c r="EA168" s="298"/>
      <c r="EB168" s="298"/>
      <c r="EC168" s="298"/>
      <c r="ED168" s="298"/>
      <c r="EE168" s="298"/>
      <c r="EF168" s="298"/>
      <c r="EG168" s="298"/>
    </row>
    <row r="169" spans="49:137" ht="11.75" customHeight="1" x14ac:dyDescent="0.15">
      <c r="AW169" s="298"/>
      <c r="AX169" s="298"/>
      <c r="AY169" s="298"/>
      <c r="AZ169" s="298"/>
      <c r="BA169" s="298"/>
      <c r="BB169" s="298"/>
      <c r="BC169" s="298"/>
      <c r="BD169" s="298"/>
      <c r="BE169" s="298"/>
      <c r="BF169" s="298"/>
      <c r="BG169" s="298"/>
      <c r="BH169" s="298"/>
      <c r="BI169" s="298"/>
      <c r="BJ169" s="298"/>
      <c r="BK169" s="298"/>
      <c r="BL169" s="298"/>
      <c r="BM169" s="298"/>
      <c r="BN169" s="298"/>
      <c r="BO169" s="298"/>
      <c r="BP169" s="298"/>
      <c r="BQ169" s="298"/>
      <c r="BR169" s="298"/>
      <c r="BS169" s="298"/>
      <c r="BT169" s="298"/>
      <c r="BU169" s="298"/>
      <c r="BV169" s="298"/>
      <c r="BW169" s="298"/>
      <c r="BX169" s="299"/>
      <c r="BY169" s="299"/>
      <c r="BZ169" s="299"/>
      <c r="CA169" s="299"/>
      <c r="CB169" s="299"/>
      <c r="CC169" s="299"/>
      <c r="CD169" s="299"/>
      <c r="CE169" s="299"/>
      <c r="CF169" s="299"/>
      <c r="CG169" s="299"/>
      <c r="CH169" s="299"/>
      <c r="CI169" s="299"/>
      <c r="CJ169" s="299"/>
      <c r="CK169" s="299"/>
      <c r="CL169" s="299"/>
      <c r="CM169" s="299"/>
      <c r="CN169" s="299"/>
      <c r="CO169" s="299"/>
      <c r="CP169" s="299"/>
      <c r="CQ169" s="299"/>
      <c r="CR169" s="299"/>
      <c r="CS169" s="299"/>
      <c r="CT169" s="299"/>
      <c r="CU169" s="299"/>
      <c r="CV169" s="299"/>
      <c r="CW169" s="299"/>
      <c r="CX169" s="299"/>
      <c r="CY169" s="299"/>
      <c r="CZ169" s="299"/>
      <c r="DA169" s="299"/>
      <c r="DB169" s="299"/>
      <c r="DC169" s="299"/>
      <c r="DD169" s="299"/>
      <c r="DE169" s="299"/>
      <c r="DF169" s="299"/>
      <c r="DG169" s="299"/>
      <c r="DH169" s="299"/>
      <c r="DI169" s="299"/>
      <c r="DJ169" s="299"/>
      <c r="DK169" s="299"/>
      <c r="DL169" s="299"/>
      <c r="DM169" s="299"/>
      <c r="DN169" s="299"/>
      <c r="DO169" s="299"/>
      <c r="DP169" s="299"/>
      <c r="DQ169" s="299"/>
      <c r="DR169" s="299"/>
      <c r="DS169" s="298"/>
      <c r="DT169" s="298"/>
      <c r="DU169" s="298"/>
      <c r="DV169" s="298"/>
      <c r="DW169" s="298"/>
      <c r="DX169" s="298"/>
      <c r="DY169" s="298"/>
      <c r="DZ169" s="298"/>
      <c r="EA169" s="298"/>
      <c r="EB169" s="298"/>
      <c r="EC169" s="298"/>
      <c r="ED169" s="298"/>
      <c r="EE169" s="298"/>
      <c r="EF169" s="298"/>
      <c r="EG169" s="298"/>
    </row>
    <row r="170" spans="49:137" ht="11.75" customHeight="1" x14ac:dyDescent="0.15">
      <c r="AW170" s="298"/>
      <c r="AX170" s="298"/>
      <c r="AY170" s="298"/>
      <c r="AZ170" s="298"/>
      <c r="BA170" s="298"/>
      <c r="BB170" s="298"/>
      <c r="BC170" s="298"/>
      <c r="BD170" s="298"/>
      <c r="BE170" s="298"/>
      <c r="BF170" s="298"/>
      <c r="BG170" s="298"/>
      <c r="BH170" s="298"/>
      <c r="BI170" s="298"/>
      <c r="BJ170" s="298"/>
      <c r="BK170" s="298"/>
      <c r="BL170" s="298"/>
      <c r="BM170" s="298"/>
      <c r="BN170" s="298"/>
      <c r="BO170" s="298"/>
      <c r="BP170" s="298"/>
      <c r="BQ170" s="298"/>
      <c r="BR170" s="298"/>
      <c r="BS170" s="298"/>
      <c r="BT170" s="298"/>
      <c r="BU170" s="298"/>
      <c r="BV170" s="298"/>
      <c r="BW170" s="298"/>
      <c r="BX170" s="299"/>
      <c r="BY170" s="299"/>
      <c r="BZ170" s="299"/>
      <c r="CA170" s="299"/>
      <c r="CB170" s="299"/>
      <c r="CC170" s="299"/>
      <c r="CD170" s="299"/>
      <c r="CE170" s="299"/>
      <c r="CF170" s="299"/>
      <c r="CG170" s="299"/>
      <c r="CH170" s="299"/>
      <c r="CI170" s="299"/>
      <c r="CJ170" s="299"/>
      <c r="CK170" s="299"/>
      <c r="CL170" s="299"/>
      <c r="CM170" s="299"/>
      <c r="CN170" s="299"/>
      <c r="CO170" s="299"/>
      <c r="CP170" s="299"/>
      <c r="CQ170" s="299"/>
      <c r="CR170" s="299"/>
      <c r="CS170" s="299"/>
      <c r="CT170" s="299"/>
      <c r="CU170" s="299"/>
      <c r="CV170" s="299"/>
      <c r="CW170" s="299"/>
      <c r="CX170" s="299"/>
      <c r="CY170" s="299"/>
      <c r="CZ170" s="299"/>
      <c r="DA170" s="299"/>
      <c r="DB170" s="299"/>
      <c r="DC170" s="299"/>
      <c r="DD170" s="299"/>
      <c r="DE170" s="299"/>
      <c r="DF170" s="299"/>
      <c r="DG170" s="299"/>
      <c r="DH170" s="299"/>
      <c r="DI170" s="299"/>
      <c r="DJ170" s="299"/>
      <c r="DK170" s="299"/>
      <c r="DL170" s="299"/>
      <c r="DM170" s="299"/>
      <c r="DN170" s="299"/>
      <c r="DO170" s="299"/>
      <c r="DP170" s="299"/>
      <c r="DQ170" s="299"/>
      <c r="DR170" s="299"/>
      <c r="DS170" s="298"/>
      <c r="DT170" s="298"/>
      <c r="DU170" s="298"/>
      <c r="DV170" s="298"/>
      <c r="DW170" s="298"/>
      <c r="DX170" s="298"/>
      <c r="DY170" s="298"/>
      <c r="DZ170" s="298"/>
      <c r="EA170" s="298"/>
      <c r="EB170" s="298"/>
      <c r="EC170" s="298"/>
      <c r="ED170" s="298"/>
      <c r="EE170" s="298"/>
      <c r="EF170" s="298"/>
      <c r="EG170" s="298"/>
    </row>
    <row r="171" spans="49:137" ht="11.75" customHeight="1" x14ac:dyDescent="0.15">
      <c r="AW171" s="298"/>
      <c r="AX171" s="298"/>
      <c r="AY171" s="298"/>
      <c r="AZ171" s="298"/>
      <c r="BA171" s="298"/>
      <c r="BB171" s="298"/>
      <c r="BC171" s="298"/>
      <c r="BD171" s="298"/>
      <c r="BE171" s="298"/>
      <c r="BF171" s="298"/>
      <c r="BG171" s="298"/>
      <c r="BH171" s="298"/>
      <c r="BI171" s="298"/>
      <c r="BJ171" s="298"/>
      <c r="BK171" s="298"/>
      <c r="BL171" s="298"/>
      <c r="BM171" s="298"/>
      <c r="BN171" s="298"/>
      <c r="BO171" s="298"/>
      <c r="BP171" s="298"/>
      <c r="BQ171" s="298"/>
      <c r="BR171" s="298"/>
      <c r="BS171" s="298"/>
      <c r="BT171" s="298"/>
      <c r="BU171" s="298"/>
      <c r="BV171" s="298"/>
      <c r="BW171" s="298"/>
      <c r="BX171" s="299"/>
      <c r="BY171" s="299"/>
      <c r="BZ171" s="299"/>
      <c r="CA171" s="299"/>
      <c r="CB171" s="299"/>
      <c r="CC171" s="299"/>
      <c r="CD171" s="299"/>
      <c r="CE171" s="299"/>
      <c r="CF171" s="299"/>
      <c r="CG171" s="299"/>
      <c r="CH171" s="299"/>
      <c r="CI171" s="299"/>
      <c r="CJ171" s="299"/>
      <c r="CK171" s="299"/>
      <c r="CL171" s="299"/>
      <c r="CM171" s="299"/>
      <c r="CN171" s="299"/>
      <c r="CO171" s="299"/>
      <c r="CP171" s="299"/>
      <c r="CQ171" s="299"/>
      <c r="CR171" s="299"/>
      <c r="CS171" s="299"/>
      <c r="CT171" s="299"/>
      <c r="CU171" s="299"/>
      <c r="CV171" s="299"/>
      <c r="CW171" s="299"/>
      <c r="CX171" s="299"/>
      <c r="CY171" s="299"/>
      <c r="CZ171" s="299"/>
      <c r="DA171" s="299"/>
      <c r="DB171" s="299"/>
      <c r="DC171" s="299"/>
      <c r="DD171" s="299"/>
      <c r="DE171" s="299"/>
      <c r="DF171" s="299"/>
      <c r="DG171" s="299"/>
      <c r="DH171" s="299"/>
      <c r="DI171" s="299"/>
      <c r="DJ171" s="299"/>
      <c r="DK171" s="299"/>
      <c r="DL171" s="299"/>
      <c r="DM171" s="299"/>
      <c r="DN171" s="299"/>
      <c r="DO171" s="299"/>
      <c r="DP171" s="299"/>
      <c r="DQ171" s="299"/>
      <c r="DR171" s="299"/>
      <c r="DS171" s="298"/>
      <c r="DT171" s="298"/>
      <c r="DU171" s="298"/>
      <c r="DV171" s="298"/>
      <c r="DW171" s="298"/>
      <c r="DX171" s="298"/>
      <c r="DY171" s="298"/>
      <c r="DZ171" s="298"/>
      <c r="EA171" s="298"/>
      <c r="EB171" s="298"/>
      <c r="EC171" s="298"/>
      <c r="ED171" s="298"/>
      <c r="EE171" s="298"/>
      <c r="EF171" s="298"/>
      <c r="EG171" s="298"/>
    </row>
    <row r="172" spans="49:137" ht="11.75" customHeight="1" x14ac:dyDescent="0.15">
      <c r="AW172" s="298"/>
      <c r="AX172" s="298"/>
      <c r="AY172" s="298"/>
      <c r="AZ172" s="298"/>
      <c r="BA172" s="298"/>
      <c r="BB172" s="298"/>
      <c r="BC172" s="298"/>
      <c r="BD172" s="298"/>
      <c r="BE172" s="298"/>
      <c r="BF172" s="298"/>
      <c r="BG172" s="298"/>
      <c r="BH172" s="298"/>
      <c r="BI172" s="298"/>
      <c r="BJ172" s="298"/>
      <c r="BK172" s="298"/>
      <c r="BL172" s="298"/>
      <c r="BM172" s="298"/>
      <c r="BN172" s="298"/>
      <c r="BO172" s="298"/>
      <c r="BP172" s="298"/>
      <c r="BQ172" s="298"/>
      <c r="BR172" s="298"/>
      <c r="BS172" s="298"/>
      <c r="BT172" s="298"/>
      <c r="BU172" s="298"/>
      <c r="BV172" s="298"/>
      <c r="BW172" s="298"/>
      <c r="BX172" s="299"/>
      <c r="BY172" s="299"/>
      <c r="BZ172" s="299"/>
      <c r="CA172" s="299"/>
      <c r="CB172" s="299"/>
      <c r="CC172" s="299"/>
      <c r="CD172" s="299"/>
      <c r="CE172" s="299"/>
      <c r="CF172" s="299"/>
      <c r="CG172" s="299"/>
      <c r="CH172" s="299"/>
      <c r="CI172" s="299"/>
      <c r="CJ172" s="299"/>
      <c r="CK172" s="299"/>
      <c r="CL172" s="299"/>
      <c r="CM172" s="299"/>
      <c r="CN172" s="299"/>
      <c r="CO172" s="299"/>
      <c r="CP172" s="299"/>
      <c r="CQ172" s="299"/>
      <c r="CR172" s="299"/>
      <c r="CS172" s="299"/>
      <c r="CT172" s="299"/>
      <c r="CU172" s="299"/>
      <c r="CV172" s="299"/>
      <c r="CW172" s="299"/>
      <c r="CX172" s="299"/>
      <c r="CY172" s="299"/>
      <c r="CZ172" s="299"/>
      <c r="DA172" s="299"/>
      <c r="DB172" s="299"/>
      <c r="DC172" s="299"/>
      <c r="DD172" s="299"/>
      <c r="DE172" s="299"/>
      <c r="DF172" s="299"/>
      <c r="DG172" s="299"/>
      <c r="DH172" s="299"/>
      <c r="DI172" s="299"/>
      <c r="DJ172" s="299"/>
      <c r="DK172" s="299"/>
      <c r="DL172" s="299"/>
      <c r="DM172" s="299"/>
      <c r="DN172" s="299"/>
      <c r="DO172" s="299"/>
      <c r="DP172" s="299"/>
      <c r="DQ172" s="299"/>
      <c r="DR172" s="299"/>
      <c r="DS172" s="298"/>
      <c r="DT172" s="298"/>
      <c r="DU172" s="298"/>
      <c r="DV172" s="298"/>
      <c r="DW172" s="298"/>
      <c r="DX172" s="298"/>
      <c r="DY172" s="298"/>
      <c r="DZ172" s="298"/>
      <c r="EA172" s="298"/>
      <c r="EB172" s="298"/>
      <c r="EC172" s="298"/>
      <c r="ED172" s="298"/>
      <c r="EE172" s="298"/>
      <c r="EF172" s="298"/>
      <c r="EG172" s="298"/>
    </row>
    <row r="173" spans="49:137" ht="11.75" customHeight="1" x14ac:dyDescent="0.15">
      <c r="AW173" s="298"/>
      <c r="AX173" s="298"/>
      <c r="AY173" s="298"/>
      <c r="AZ173" s="298"/>
      <c r="BA173" s="298"/>
      <c r="BB173" s="298"/>
      <c r="BC173" s="298"/>
      <c r="BD173" s="298"/>
      <c r="BE173" s="298"/>
      <c r="BF173" s="298"/>
      <c r="BG173" s="298"/>
      <c r="BH173" s="298"/>
      <c r="BI173" s="298"/>
      <c r="BJ173" s="298"/>
      <c r="BK173" s="298"/>
      <c r="BL173" s="298"/>
      <c r="BM173" s="298"/>
      <c r="BN173" s="298"/>
      <c r="BO173" s="298"/>
      <c r="BP173" s="298"/>
      <c r="BQ173" s="298"/>
      <c r="BR173" s="298"/>
      <c r="BS173" s="298"/>
      <c r="BT173" s="298"/>
      <c r="BU173" s="298"/>
      <c r="BV173" s="298"/>
      <c r="BW173" s="298"/>
      <c r="BX173" s="299"/>
      <c r="BY173" s="299"/>
      <c r="BZ173" s="299"/>
      <c r="CA173" s="299"/>
      <c r="CB173" s="299"/>
      <c r="CC173" s="299"/>
      <c r="CD173" s="299"/>
      <c r="CE173" s="299"/>
      <c r="CF173" s="299"/>
      <c r="CG173" s="299"/>
      <c r="CH173" s="299"/>
      <c r="CI173" s="299"/>
      <c r="CJ173" s="299"/>
      <c r="CK173" s="299"/>
      <c r="CL173" s="299"/>
      <c r="CM173" s="299"/>
      <c r="CN173" s="299"/>
      <c r="CO173" s="299"/>
      <c r="CP173" s="299"/>
      <c r="CQ173" s="299"/>
      <c r="CR173" s="299"/>
      <c r="CS173" s="299"/>
      <c r="CT173" s="299"/>
      <c r="CU173" s="299"/>
      <c r="CV173" s="299"/>
      <c r="CW173" s="299"/>
      <c r="CX173" s="299"/>
      <c r="CY173" s="299"/>
      <c r="CZ173" s="299"/>
      <c r="DA173" s="299"/>
      <c r="DB173" s="299"/>
      <c r="DC173" s="299"/>
      <c r="DD173" s="299"/>
      <c r="DE173" s="299"/>
      <c r="DF173" s="299"/>
      <c r="DG173" s="299"/>
      <c r="DH173" s="299"/>
      <c r="DI173" s="299"/>
      <c r="DJ173" s="299"/>
      <c r="DK173" s="299"/>
      <c r="DL173" s="299"/>
      <c r="DM173" s="299"/>
      <c r="DN173" s="299"/>
      <c r="DO173" s="299"/>
      <c r="DP173" s="299"/>
      <c r="DQ173" s="299"/>
      <c r="DR173" s="299"/>
      <c r="DS173" s="298"/>
      <c r="DT173" s="298"/>
      <c r="DU173" s="298"/>
      <c r="DV173" s="298"/>
      <c r="DW173" s="298"/>
      <c r="DX173" s="298"/>
      <c r="DY173" s="298"/>
      <c r="DZ173" s="298"/>
      <c r="EA173" s="298"/>
      <c r="EB173" s="298"/>
      <c r="EC173" s="298"/>
      <c r="ED173" s="298"/>
      <c r="EE173" s="298"/>
      <c r="EF173" s="298"/>
      <c r="EG173" s="298"/>
    </row>
    <row r="174" spans="49:137" ht="11.75" customHeight="1" x14ac:dyDescent="0.15">
      <c r="AW174" s="298"/>
      <c r="AX174" s="298"/>
      <c r="AY174" s="298"/>
      <c r="AZ174" s="298"/>
      <c r="BA174" s="298"/>
      <c r="BB174" s="298"/>
      <c r="BC174" s="298"/>
      <c r="BD174" s="298"/>
      <c r="BE174" s="298"/>
      <c r="BF174" s="298"/>
      <c r="BG174" s="298"/>
      <c r="BH174" s="298"/>
      <c r="BI174" s="298"/>
      <c r="BJ174" s="298"/>
      <c r="BK174" s="298"/>
      <c r="BL174" s="298"/>
      <c r="BM174" s="298"/>
      <c r="BN174" s="298"/>
      <c r="BO174" s="298"/>
      <c r="BP174" s="298"/>
      <c r="BQ174" s="298"/>
      <c r="BR174" s="298"/>
      <c r="BS174" s="298"/>
      <c r="BT174" s="298"/>
      <c r="BU174" s="298"/>
      <c r="BV174" s="298"/>
      <c r="BW174" s="298"/>
      <c r="BX174" s="299"/>
      <c r="BY174" s="299"/>
      <c r="BZ174" s="299"/>
      <c r="CA174" s="299"/>
      <c r="CB174" s="299"/>
      <c r="CC174" s="299"/>
      <c r="CD174" s="299"/>
      <c r="CE174" s="299"/>
      <c r="CF174" s="299"/>
      <c r="CG174" s="299"/>
      <c r="CH174" s="299"/>
      <c r="CI174" s="299"/>
      <c r="CJ174" s="299"/>
      <c r="CK174" s="299"/>
      <c r="CL174" s="299"/>
      <c r="CM174" s="299"/>
      <c r="CN174" s="299"/>
      <c r="CO174" s="299"/>
      <c r="CP174" s="299"/>
      <c r="CQ174" s="299"/>
      <c r="CR174" s="299"/>
      <c r="CS174" s="299"/>
      <c r="CT174" s="299"/>
      <c r="CU174" s="299"/>
      <c r="CV174" s="299"/>
      <c r="CW174" s="299"/>
      <c r="CX174" s="299"/>
      <c r="CY174" s="299"/>
      <c r="CZ174" s="299"/>
      <c r="DA174" s="299"/>
      <c r="DB174" s="299"/>
      <c r="DC174" s="299"/>
      <c r="DD174" s="299"/>
      <c r="DE174" s="299"/>
      <c r="DF174" s="299"/>
      <c r="DG174" s="299"/>
      <c r="DH174" s="299"/>
      <c r="DI174" s="299"/>
      <c r="DJ174" s="299"/>
      <c r="DK174" s="299"/>
      <c r="DL174" s="299"/>
      <c r="DM174" s="299"/>
      <c r="DN174" s="299"/>
      <c r="DO174" s="299"/>
      <c r="DP174" s="299"/>
      <c r="DQ174" s="299"/>
      <c r="DR174" s="299"/>
      <c r="DS174" s="298"/>
      <c r="DT174" s="298"/>
      <c r="DU174" s="298"/>
      <c r="DV174" s="298"/>
      <c r="DW174" s="298"/>
      <c r="DX174" s="298"/>
      <c r="DY174" s="298"/>
      <c r="DZ174" s="298"/>
      <c r="EA174" s="298"/>
      <c r="EB174" s="298"/>
      <c r="EC174" s="298"/>
      <c r="ED174" s="298"/>
      <c r="EE174" s="298"/>
      <c r="EF174" s="298"/>
      <c r="EG174" s="298"/>
    </row>
    <row r="175" spans="49:137" ht="11.75" customHeight="1" x14ac:dyDescent="0.15">
      <c r="AW175" s="298"/>
      <c r="AX175" s="298"/>
      <c r="AY175" s="298"/>
      <c r="AZ175" s="298"/>
      <c r="BA175" s="298"/>
      <c r="BB175" s="298"/>
      <c r="BC175" s="298"/>
      <c r="BD175" s="298"/>
      <c r="BE175" s="298"/>
      <c r="BF175" s="298"/>
      <c r="BG175" s="298"/>
      <c r="BH175" s="298"/>
      <c r="BI175" s="298"/>
      <c r="BJ175" s="298"/>
      <c r="BK175" s="298"/>
      <c r="BL175" s="298"/>
      <c r="BM175" s="298"/>
      <c r="BN175" s="298"/>
      <c r="BO175" s="298"/>
      <c r="BP175" s="298"/>
      <c r="BQ175" s="298"/>
      <c r="BR175" s="298"/>
      <c r="BS175" s="298"/>
      <c r="BT175" s="298"/>
      <c r="BU175" s="298"/>
      <c r="BV175" s="298"/>
      <c r="BW175" s="298"/>
      <c r="BX175" s="299"/>
      <c r="BY175" s="299"/>
      <c r="BZ175" s="299"/>
      <c r="CA175" s="299"/>
      <c r="CB175" s="299"/>
      <c r="CC175" s="299"/>
      <c r="CD175" s="299"/>
      <c r="CE175" s="299"/>
      <c r="CF175" s="299"/>
      <c r="CG175" s="299"/>
      <c r="CH175" s="299"/>
      <c r="CI175" s="299"/>
      <c r="CJ175" s="299"/>
      <c r="CK175" s="299"/>
      <c r="CL175" s="299"/>
      <c r="CM175" s="299"/>
      <c r="CN175" s="299"/>
      <c r="CO175" s="299"/>
      <c r="CP175" s="299"/>
      <c r="CQ175" s="299"/>
      <c r="CR175" s="299"/>
      <c r="CS175" s="299"/>
      <c r="CT175" s="299"/>
      <c r="CU175" s="299"/>
      <c r="CV175" s="299"/>
      <c r="CW175" s="299"/>
      <c r="CX175" s="299"/>
      <c r="CY175" s="299"/>
      <c r="CZ175" s="299"/>
      <c r="DA175" s="299"/>
      <c r="DB175" s="299"/>
      <c r="DC175" s="299"/>
      <c r="DD175" s="299"/>
      <c r="DE175" s="299"/>
      <c r="DF175" s="299"/>
      <c r="DG175" s="299"/>
      <c r="DH175" s="299"/>
      <c r="DI175" s="299"/>
      <c r="DJ175" s="299"/>
      <c r="DK175" s="299"/>
      <c r="DL175" s="299"/>
      <c r="DM175" s="299"/>
      <c r="DN175" s="299"/>
      <c r="DO175" s="299"/>
      <c r="DP175" s="299"/>
      <c r="DQ175" s="299"/>
      <c r="DR175" s="299"/>
      <c r="DS175" s="298"/>
      <c r="DT175" s="298"/>
      <c r="DU175" s="298"/>
      <c r="DV175" s="298"/>
      <c r="DW175" s="298"/>
      <c r="DX175" s="298"/>
      <c r="DY175" s="298"/>
      <c r="DZ175" s="298"/>
      <c r="EA175" s="298"/>
      <c r="EB175" s="298"/>
      <c r="EC175" s="298"/>
      <c r="ED175" s="298"/>
      <c r="EE175" s="298"/>
      <c r="EF175" s="298"/>
      <c r="EG175" s="298"/>
    </row>
    <row r="176" spans="49:137" ht="11.75" customHeight="1" x14ac:dyDescent="0.15">
      <c r="AW176" s="298"/>
      <c r="AX176" s="298"/>
      <c r="AY176" s="298"/>
      <c r="AZ176" s="298"/>
      <c r="BA176" s="298"/>
      <c r="BB176" s="298"/>
      <c r="BC176" s="298"/>
      <c r="BD176" s="298"/>
      <c r="BE176" s="298"/>
      <c r="BF176" s="298"/>
      <c r="BG176" s="298"/>
      <c r="BH176" s="298"/>
      <c r="BI176" s="298"/>
      <c r="BJ176" s="298"/>
      <c r="BK176" s="298"/>
      <c r="BL176" s="298"/>
      <c r="BM176" s="298"/>
      <c r="BN176" s="298"/>
      <c r="BO176" s="298"/>
      <c r="BP176" s="298"/>
      <c r="BQ176" s="298"/>
      <c r="BR176" s="298"/>
      <c r="BS176" s="298"/>
      <c r="BT176" s="298"/>
      <c r="BU176" s="298"/>
      <c r="BV176" s="298"/>
      <c r="BW176" s="298"/>
      <c r="BX176" s="299"/>
      <c r="BY176" s="299"/>
      <c r="BZ176" s="299"/>
      <c r="CA176" s="299"/>
      <c r="CB176" s="299"/>
      <c r="CC176" s="299"/>
      <c r="CD176" s="299"/>
      <c r="CE176" s="299"/>
      <c r="CF176" s="299"/>
      <c r="CG176" s="299"/>
      <c r="CH176" s="299"/>
      <c r="CI176" s="299"/>
      <c r="CJ176" s="299"/>
      <c r="CK176" s="299"/>
      <c r="CL176" s="299"/>
      <c r="CM176" s="299"/>
      <c r="CN176" s="299"/>
      <c r="CO176" s="299"/>
      <c r="CP176" s="299"/>
      <c r="CQ176" s="299"/>
      <c r="CR176" s="299"/>
      <c r="CS176" s="299"/>
      <c r="CT176" s="299"/>
      <c r="CU176" s="299"/>
      <c r="CV176" s="299"/>
      <c r="CW176" s="299"/>
      <c r="CX176" s="299"/>
      <c r="CY176" s="299"/>
      <c r="CZ176" s="299"/>
      <c r="DA176" s="299"/>
      <c r="DB176" s="299"/>
      <c r="DC176" s="299"/>
      <c r="DD176" s="299"/>
      <c r="DE176" s="299"/>
      <c r="DF176" s="299"/>
      <c r="DG176" s="299"/>
      <c r="DH176" s="299"/>
      <c r="DI176" s="299"/>
      <c r="DJ176" s="299"/>
      <c r="DK176" s="299"/>
      <c r="DL176" s="299"/>
      <c r="DM176" s="299"/>
      <c r="DN176" s="299"/>
      <c r="DO176" s="299"/>
      <c r="DP176" s="299"/>
      <c r="DQ176" s="299"/>
      <c r="DR176" s="299"/>
      <c r="DS176" s="298"/>
      <c r="DT176" s="298"/>
      <c r="DU176" s="298"/>
      <c r="DV176" s="298"/>
      <c r="DW176" s="298"/>
      <c r="DX176" s="298"/>
      <c r="DY176" s="298"/>
      <c r="DZ176" s="298"/>
      <c r="EA176" s="298"/>
      <c r="EB176" s="298"/>
      <c r="EC176" s="298"/>
      <c r="ED176" s="298"/>
      <c r="EE176" s="298"/>
      <c r="EF176" s="298"/>
      <c r="EG176" s="298"/>
    </row>
    <row r="177" spans="49:137" ht="11.75" customHeight="1" x14ac:dyDescent="0.15">
      <c r="AW177" s="298"/>
      <c r="AX177" s="298"/>
      <c r="AY177" s="298"/>
      <c r="AZ177" s="298"/>
      <c r="BA177" s="298"/>
      <c r="BB177" s="298"/>
      <c r="BC177" s="298"/>
      <c r="BD177" s="298"/>
      <c r="BE177" s="298"/>
      <c r="BF177" s="298"/>
      <c r="BG177" s="298"/>
      <c r="BH177" s="298"/>
      <c r="BI177" s="298"/>
      <c r="BJ177" s="298"/>
      <c r="BK177" s="298"/>
      <c r="BL177" s="298"/>
      <c r="BM177" s="298"/>
      <c r="BN177" s="298"/>
      <c r="BO177" s="298"/>
      <c r="BP177" s="298"/>
      <c r="BQ177" s="298"/>
      <c r="BR177" s="298"/>
      <c r="BS177" s="298"/>
      <c r="BT177" s="298"/>
      <c r="BU177" s="298"/>
      <c r="BV177" s="298"/>
      <c r="BW177" s="298"/>
      <c r="BX177" s="299"/>
      <c r="BY177" s="299"/>
      <c r="BZ177" s="299"/>
      <c r="CA177" s="299"/>
      <c r="CB177" s="299"/>
      <c r="CC177" s="299"/>
      <c r="CD177" s="299"/>
      <c r="CE177" s="299"/>
      <c r="CF177" s="299"/>
      <c r="CG177" s="299"/>
      <c r="CH177" s="299"/>
      <c r="CI177" s="299"/>
      <c r="CJ177" s="299"/>
      <c r="CK177" s="299"/>
      <c r="CL177" s="299"/>
      <c r="CM177" s="299"/>
      <c r="CN177" s="299"/>
      <c r="CO177" s="299"/>
      <c r="CP177" s="299"/>
      <c r="CQ177" s="299"/>
      <c r="CR177" s="299"/>
      <c r="CS177" s="299"/>
      <c r="CT177" s="299"/>
      <c r="CU177" s="299"/>
      <c r="CV177" s="299"/>
      <c r="CW177" s="299"/>
      <c r="CX177" s="299"/>
      <c r="CY177" s="299"/>
      <c r="CZ177" s="299"/>
      <c r="DA177" s="299"/>
      <c r="DB177" s="299"/>
      <c r="DC177" s="299"/>
      <c r="DD177" s="299"/>
      <c r="DE177" s="299"/>
      <c r="DF177" s="299"/>
      <c r="DG177" s="299"/>
      <c r="DH177" s="299"/>
      <c r="DI177" s="299"/>
      <c r="DJ177" s="299"/>
      <c r="DK177" s="299"/>
      <c r="DL177" s="299"/>
      <c r="DM177" s="299"/>
      <c r="DN177" s="299"/>
      <c r="DO177" s="299"/>
      <c r="DP177" s="299"/>
      <c r="DQ177" s="299"/>
      <c r="DR177" s="299"/>
      <c r="DS177" s="298"/>
      <c r="DT177" s="298"/>
      <c r="DU177" s="298"/>
      <c r="DV177" s="298"/>
      <c r="DW177" s="298"/>
      <c r="DX177" s="298"/>
      <c r="DY177" s="298"/>
      <c r="DZ177" s="298"/>
      <c r="EA177" s="298"/>
      <c r="EB177" s="298"/>
      <c r="EC177" s="298"/>
      <c r="ED177" s="298"/>
      <c r="EE177" s="298"/>
      <c r="EF177" s="298"/>
      <c r="EG177" s="298"/>
    </row>
    <row r="178" spans="49:137" ht="11.75" customHeight="1" x14ac:dyDescent="0.15">
      <c r="AW178" s="298"/>
      <c r="AX178" s="298"/>
      <c r="AY178" s="298"/>
      <c r="AZ178" s="298"/>
      <c r="BA178" s="298"/>
      <c r="BB178" s="298"/>
      <c r="BC178" s="298"/>
      <c r="BD178" s="298"/>
      <c r="BE178" s="298"/>
      <c r="BF178" s="298"/>
      <c r="BG178" s="298"/>
      <c r="BH178" s="298"/>
      <c r="BI178" s="298"/>
      <c r="BJ178" s="298"/>
      <c r="BK178" s="298"/>
      <c r="BL178" s="298"/>
      <c r="BM178" s="298"/>
      <c r="BN178" s="298"/>
      <c r="BO178" s="298"/>
      <c r="BP178" s="298"/>
      <c r="BQ178" s="298"/>
      <c r="BR178" s="298"/>
      <c r="BS178" s="298"/>
      <c r="BT178" s="298"/>
      <c r="BU178" s="298"/>
      <c r="BV178" s="298"/>
      <c r="BW178" s="298"/>
      <c r="BX178" s="299"/>
      <c r="BY178" s="299"/>
      <c r="BZ178" s="299"/>
      <c r="CA178" s="299"/>
      <c r="CB178" s="299"/>
      <c r="CC178" s="299"/>
      <c r="CD178" s="299"/>
      <c r="CE178" s="299"/>
      <c r="CF178" s="299"/>
      <c r="CG178" s="299"/>
      <c r="CH178" s="299"/>
      <c r="CI178" s="299"/>
      <c r="CJ178" s="299"/>
      <c r="CK178" s="299"/>
      <c r="CL178" s="299"/>
      <c r="CM178" s="299"/>
      <c r="CN178" s="299"/>
      <c r="CO178" s="299"/>
      <c r="CP178" s="299"/>
      <c r="CQ178" s="299"/>
      <c r="CR178" s="299"/>
      <c r="CS178" s="299"/>
      <c r="CT178" s="299"/>
      <c r="CU178" s="299"/>
      <c r="CV178" s="299"/>
      <c r="CW178" s="299"/>
      <c r="CX178" s="299"/>
      <c r="CY178" s="299"/>
      <c r="CZ178" s="299"/>
      <c r="DA178" s="299"/>
      <c r="DB178" s="299"/>
      <c r="DC178" s="299"/>
      <c r="DD178" s="299"/>
      <c r="DE178" s="299"/>
      <c r="DF178" s="299"/>
      <c r="DG178" s="299"/>
      <c r="DH178" s="299"/>
      <c r="DI178" s="299"/>
      <c r="DJ178" s="299"/>
      <c r="DK178" s="299"/>
      <c r="DL178" s="299"/>
      <c r="DM178" s="299"/>
      <c r="DN178" s="299"/>
      <c r="DO178" s="299"/>
      <c r="DP178" s="299"/>
      <c r="DQ178" s="299"/>
      <c r="DR178" s="299"/>
      <c r="DS178" s="298"/>
      <c r="DT178" s="298"/>
      <c r="DU178" s="298"/>
      <c r="DV178" s="298"/>
      <c r="DW178" s="298"/>
      <c r="DX178" s="298"/>
      <c r="DY178" s="298"/>
      <c r="DZ178" s="298"/>
      <c r="EA178" s="298"/>
      <c r="EB178" s="298"/>
      <c r="EC178" s="298"/>
      <c r="ED178" s="298"/>
      <c r="EE178" s="298"/>
      <c r="EF178" s="298"/>
      <c r="EG178" s="298"/>
    </row>
    <row r="179" spans="49:137" ht="11.75" customHeight="1" x14ac:dyDescent="0.15">
      <c r="AW179" s="298"/>
      <c r="AX179" s="298"/>
      <c r="AY179" s="298"/>
      <c r="AZ179" s="298"/>
      <c r="BA179" s="298"/>
      <c r="BB179" s="298"/>
      <c r="BC179" s="298"/>
      <c r="BD179" s="298"/>
      <c r="BE179" s="298"/>
      <c r="BF179" s="298"/>
      <c r="BG179" s="298"/>
      <c r="BH179" s="298"/>
      <c r="BI179" s="298"/>
      <c r="BJ179" s="298"/>
      <c r="BK179" s="298"/>
      <c r="BL179" s="298"/>
      <c r="BM179" s="298"/>
      <c r="BN179" s="298"/>
      <c r="BO179" s="298"/>
      <c r="BP179" s="298"/>
      <c r="BQ179" s="298"/>
      <c r="BR179" s="298"/>
      <c r="BS179" s="298"/>
      <c r="BT179" s="298"/>
      <c r="BU179" s="298"/>
      <c r="BV179" s="298"/>
      <c r="BW179" s="298"/>
      <c r="BX179" s="299"/>
      <c r="BY179" s="299"/>
      <c r="BZ179" s="299"/>
      <c r="CA179" s="299"/>
      <c r="CB179" s="299"/>
      <c r="CC179" s="299"/>
      <c r="CD179" s="299"/>
      <c r="CE179" s="299"/>
      <c r="CF179" s="299"/>
      <c r="CG179" s="299"/>
      <c r="CH179" s="299"/>
      <c r="CI179" s="299"/>
      <c r="CJ179" s="299"/>
      <c r="CK179" s="299"/>
      <c r="CL179" s="299"/>
      <c r="CM179" s="299"/>
      <c r="CN179" s="299"/>
      <c r="CO179" s="299"/>
      <c r="CP179" s="299"/>
      <c r="CQ179" s="299"/>
      <c r="CR179" s="299"/>
      <c r="CS179" s="299"/>
      <c r="CT179" s="299"/>
      <c r="CU179" s="299"/>
      <c r="CV179" s="299"/>
      <c r="CW179" s="299"/>
      <c r="CX179" s="299"/>
      <c r="CY179" s="299"/>
      <c r="CZ179" s="299"/>
      <c r="DA179" s="299"/>
      <c r="DB179" s="299"/>
      <c r="DC179" s="299"/>
      <c r="DD179" s="299"/>
      <c r="DE179" s="299"/>
      <c r="DF179" s="299"/>
      <c r="DG179" s="299"/>
      <c r="DH179" s="299"/>
      <c r="DI179" s="299"/>
      <c r="DJ179" s="299"/>
      <c r="DK179" s="299"/>
      <c r="DL179" s="299"/>
      <c r="DM179" s="299"/>
      <c r="DN179" s="299"/>
      <c r="DO179" s="299"/>
      <c r="DP179" s="299"/>
      <c r="DQ179" s="299"/>
      <c r="DR179" s="299"/>
      <c r="DS179" s="298"/>
      <c r="DT179" s="298"/>
      <c r="DU179" s="298"/>
      <c r="DV179" s="298"/>
      <c r="DW179" s="298"/>
      <c r="DX179" s="298"/>
      <c r="DY179" s="298"/>
      <c r="DZ179" s="298"/>
      <c r="EA179" s="298"/>
      <c r="EB179" s="298"/>
      <c r="EC179" s="298"/>
      <c r="ED179" s="298"/>
      <c r="EE179" s="298"/>
      <c r="EF179" s="298"/>
      <c r="EG179" s="298"/>
    </row>
    <row r="180" spans="49:137" ht="11.75" customHeight="1" x14ac:dyDescent="0.15">
      <c r="AW180" s="298"/>
      <c r="AX180" s="298"/>
      <c r="AY180" s="298"/>
      <c r="AZ180" s="298"/>
      <c r="BA180" s="298"/>
      <c r="BB180" s="298"/>
      <c r="BC180" s="298"/>
      <c r="BD180" s="298"/>
      <c r="BE180" s="298"/>
      <c r="BF180" s="298"/>
      <c r="BG180" s="298"/>
      <c r="BH180" s="298"/>
      <c r="BI180" s="298"/>
      <c r="BJ180" s="298"/>
      <c r="BK180" s="298"/>
      <c r="BL180" s="298"/>
      <c r="BM180" s="298"/>
      <c r="BN180" s="298"/>
      <c r="BO180" s="298"/>
      <c r="BP180" s="298"/>
      <c r="BQ180" s="298"/>
      <c r="BR180" s="298"/>
      <c r="BS180" s="298"/>
      <c r="BT180" s="298"/>
      <c r="BU180" s="298"/>
      <c r="BV180" s="298"/>
      <c r="BW180" s="298"/>
      <c r="BX180" s="299"/>
      <c r="BY180" s="299"/>
      <c r="BZ180" s="299"/>
      <c r="CA180" s="299"/>
      <c r="CB180" s="299"/>
      <c r="CC180" s="299"/>
      <c r="CD180" s="299"/>
      <c r="CE180" s="299"/>
      <c r="CF180" s="299"/>
      <c r="CG180" s="299"/>
      <c r="CH180" s="299"/>
      <c r="CI180" s="299"/>
      <c r="CJ180" s="299"/>
      <c r="CK180" s="299"/>
      <c r="CL180" s="299"/>
      <c r="CM180" s="299"/>
      <c r="CN180" s="299"/>
      <c r="CO180" s="299"/>
      <c r="CP180" s="299"/>
      <c r="CQ180" s="299"/>
      <c r="CR180" s="299"/>
      <c r="CS180" s="299"/>
      <c r="CT180" s="299"/>
      <c r="CU180" s="299"/>
      <c r="CV180" s="299"/>
      <c r="CW180" s="299"/>
      <c r="CX180" s="299"/>
      <c r="CY180" s="299"/>
      <c r="CZ180" s="299"/>
      <c r="DA180" s="299"/>
      <c r="DB180" s="299"/>
      <c r="DC180" s="299"/>
      <c r="DD180" s="299"/>
      <c r="DE180" s="299"/>
      <c r="DF180" s="299"/>
      <c r="DG180" s="299"/>
      <c r="DH180" s="299"/>
      <c r="DI180" s="299"/>
      <c r="DJ180" s="299"/>
      <c r="DK180" s="299"/>
      <c r="DL180" s="299"/>
      <c r="DM180" s="299"/>
      <c r="DN180" s="299"/>
      <c r="DO180" s="299"/>
      <c r="DP180" s="299"/>
      <c r="DQ180" s="299"/>
      <c r="DR180" s="299"/>
      <c r="DS180" s="298"/>
      <c r="DT180" s="298"/>
      <c r="DU180" s="298"/>
      <c r="DV180" s="298"/>
      <c r="DW180" s="298"/>
      <c r="DX180" s="298"/>
      <c r="DY180" s="298"/>
      <c r="DZ180" s="298"/>
      <c r="EA180" s="298"/>
      <c r="EB180" s="298"/>
      <c r="EC180" s="298"/>
      <c r="ED180" s="298"/>
      <c r="EE180" s="298"/>
      <c r="EF180" s="298"/>
      <c r="EG180" s="298"/>
    </row>
    <row r="181" spans="49:137" ht="11.75" customHeight="1" x14ac:dyDescent="0.15">
      <c r="AW181" s="298"/>
      <c r="AX181" s="298"/>
      <c r="AY181" s="298"/>
      <c r="AZ181" s="298"/>
      <c r="BA181" s="298"/>
      <c r="BB181" s="298"/>
      <c r="BC181" s="298"/>
      <c r="BD181" s="298"/>
      <c r="BE181" s="298"/>
      <c r="BF181" s="298"/>
      <c r="BG181" s="298"/>
      <c r="BH181" s="298"/>
      <c r="BI181" s="298"/>
      <c r="BJ181" s="298"/>
      <c r="BK181" s="298"/>
      <c r="BL181" s="298"/>
      <c r="BM181" s="298"/>
      <c r="BN181" s="298"/>
      <c r="BO181" s="298"/>
      <c r="BP181" s="298"/>
      <c r="BQ181" s="298"/>
      <c r="BR181" s="298"/>
      <c r="BS181" s="298"/>
      <c r="BT181" s="298"/>
      <c r="BU181" s="298"/>
      <c r="BV181" s="298"/>
      <c r="BW181" s="298"/>
      <c r="BX181" s="299"/>
      <c r="BY181" s="299"/>
      <c r="BZ181" s="299"/>
      <c r="CA181" s="299"/>
      <c r="CB181" s="299"/>
      <c r="CC181" s="299"/>
      <c r="CD181" s="299"/>
      <c r="CE181" s="299"/>
      <c r="CF181" s="299"/>
      <c r="CG181" s="299"/>
      <c r="CH181" s="299"/>
      <c r="CI181" s="299"/>
      <c r="CJ181" s="299"/>
      <c r="CK181" s="299"/>
      <c r="CL181" s="299"/>
      <c r="CM181" s="299"/>
      <c r="CN181" s="299"/>
      <c r="CO181" s="299"/>
      <c r="CP181" s="299"/>
      <c r="CQ181" s="299"/>
      <c r="CR181" s="299"/>
      <c r="CS181" s="299"/>
      <c r="CT181" s="299"/>
      <c r="CU181" s="299"/>
      <c r="CV181" s="299"/>
      <c r="CW181" s="299"/>
      <c r="CX181" s="299"/>
      <c r="CY181" s="299"/>
      <c r="CZ181" s="299"/>
      <c r="DA181" s="299"/>
      <c r="DB181" s="299"/>
      <c r="DC181" s="299"/>
      <c r="DD181" s="299"/>
      <c r="DE181" s="299"/>
      <c r="DF181" s="299"/>
      <c r="DG181" s="299"/>
      <c r="DH181" s="299"/>
      <c r="DI181" s="299"/>
      <c r="DJ181" s="299"/>
      <c r="DK181" s="299"/>
      <c r="DL181" s="299"/>
      <c r="DM181" s="299"/>
      <c r="DN181" s="299"/>
      <c r="DO181" s="299"/>
      <c r="DP181" s="299"/>
      <c r="DQ181" s="299"/>
      <c r="DR181" s="299"/>
      <c r="DS181" s="298"/>
      <c r="DT181" s="298"/>
      <c r="DU181" s="298"/>
      <c r="DV181" s="298"/>
      <c r="DW181" s="298"/>
      <c r="DX181" s="298"/>
      <c r="DY181" s="298"/>
      <c r="DZ181" s="298"/>
      <c r="EA181" s="298"/>
      <c r="EB181" s="298"/>
      <c r="EC181" s="298"/>
      <c r="ED181" s="298"/>
      <c r="EE181" s="298"/>
      <c r="EF181" s="298"/>
      <c r="EG181" s="298"/>
    </row>
    <row r="182" spans="49:137" ht="11.75" customHeight="1" x14ac:dyDescent="0.15">
      <c r="AW182" s="298"/>
      <c r="AX182" s="298"/>
      <c r="AY182" s="298"/>
      <c r="AZ182" s="298"/>
      <c r="BA182" s="298"/>
      <c r="BB182" s="298"/>
      <c r="BC182" s="298"/>
      <c r="BD182" s="298"/>
      <c r="BE182" s="298"/>
      <c r="BF182" s="298"/>
      <c r="BG182" s="298"/>
      <c r="BH182" s="298"/>
      <c r="BI182" s="298"/>
      <c r="BJ182" s="298"/>
      <c r="BK182" s="298"/>
      <c r="BL182" s="298"/>
      <c r="BM182" s="298"/>
      <c r="BN182" s="298"/>
      <c r="BO182" s="298"/>
      <c r="BP182" s="298"/>
      <c r="BQ182" s="298"/>
      <c r="BR182" s="298"/>
      <c r="BS182" s="298"/>
      <c r="BT182" s="298"/>
      <c r="BU182" s="298"/>
      <c r="BV182" s="298"/>
      <c r="BW182" s="298"/>
      <c r="BX182" s="299"/>
      <c r="BY182" s="299"/>
      <c r="BZ182" s="299"/>
      <c r="CA182" s="299"/>
      <c r="CB182" s="299"/>
      <c r="CC182" s="299"/>
      <c r="CD182" s="299"/>
      <c r="CE182" s="299"/>
      <c r="CF182" s="299"/>
      <c r="CG182" s="299"/>
      <c r="CH182" s="299"/>
      <c r="CI182" s="299"/>
      <c r="CJ182" s="299"/>
      <c r="CK182" s="299"/>
      <c r="CL182" s="299"/>
      <c r="CM182" s="299"/>
      <c r="CN182" s="299"/>
      <c r="CO182" s="299"/>
      <c r="CP182" s="299"/>
      <c r="CQ182" s="299"/>
      <c r="CR182" s="299"/>
      <c r="CS182" s="299"/>
      <c r="CT182" s="299"/>
      <c r="CU182" s="299"/>
      <c r="CV182" s="299"/>
      <c r="CW182" s="299"/>
      <c r="CX182" s="299"/>
      <c r="CY182" s="299"/>
      <c r="CZ182" s="299"/>
      <c r="DA182" s="299"/>
      <c r="DB182" s="299"/>
      <c r="DC182" s="299"/>
      <c r="DD182" s="299"/>
      <c r="DE182" s="299"/>
      <c r="DF182" s="299"/>
      <c r="DG182" s="299"/>
      <c r="DH182" s="299"/>
      <c r="DI182" s="299"/>
      <c r="DJ182" s="299"/>
      <c r="DK182" s="299"/>
      <c r="DL182" s="299"/>
      <c r="DM182" s="299"/>
      <c r="DN182" s="299"/>
      <c r="DO182" s="299"/>
      <c r="DP182" s="299"/>
      <c r="DQ182" s="299"/>
      <c r="DR182" s="299"/>
      <c r="DS182" s="298"/>
      <c r="DT182" s="298"/>
      <c r="DU182" s="298"/>
      <c r="DV182" s="298"/>
      <c r="DW182" s="298"/>
      <c r="DX182" s="298"/>
      <c r="DY182" s="298"/>
      <c r="DZ182" s="298"/>
      <c r="EA182" s="298"/>
      <c r="EB182" s="298"/>
      <c r="EC182" s="298"/>
      <c r="ED182" s="298"/>
      <c r="EE182" s="298"/>
      <c r="EF182" s="298"/>
      <c r="EG182" s="298"/>
    </row>
    <row r="183" spans="49:137" ht="11.75" customHeight="1" x14ac:dyDescent="0.15">
      <c r="AW183" s="298"/>
      <c r="AX183" s="298"/>
      <c r="AY183" s="298"/>
      <c r="AZ183" s="298"/>
      <c r="BA183" s="298"/>
      <c r="BB183" s="298"/>
      <c r="BC183" s="298"/>
      <c r="BD183" s="298"/>
      <c r="BE183" s="298"/>
      <c r="BF183" s="298"/>
      <c r="BG183" s="298"/>
      <c r="BH183" s="298"/>
      <c r="BI183" s="298"/>
      <c r="BJ183" s="298"/>
      <c r="BK183" s="298"/>
      <c r="BL183" s="298"/>
      <c r="BM183" s="298"/>
      <c r="BN183" s="298"/>
      <c r="BO183" s="298"/>
      <c r="BP183" s="298"/>
      <c r="BQ183" s="298"/>
      <c r="BR183" s="298"/>
      <c r="BS183" s="298"/>
      <c r="BT183" s="298"/>
      <c r="BU183" s="298"/>
      <c r="BV183" s="298"/>
      <c r="BW183" s="298"/>
      <c r="BX183" s="299"/>
      <c r="BY183" s="299"/>
      <c r="BZ183" s="299"/>
      <c r="CA183" s="299"/>
      <c r="CB183" s="299"/>
      <c r="CC183" s="299"/>
      <c r="CD183" s="299"/>
      <c r="CE183" s="299"/>
      <c r="CF183" s="299"/>
      <c r="CG183" s="299"/>
      <c r="CH183" s="299"/>
      <c r="CI183" s="299"/>
      <c r="CJ183" s="299"/>
      <c r="CK183" s="299"/>
      <c r="CL183" s="299"/>
      <c r="CM183" s="299"/>
      <c r="CN183" s="299"/>
      <c r="CO183" s="299"/>
      <c r="CP183" s="299"/>
      <c r="CQ183" s="299"/>
      <c r="CR183" s="299"/>
      <c r="CS183" s="299"/>
      <c r="CT183" s="299"/>
      <c r="CU183" s="299"/>
      <c r="CV183" s="299"/>
      <c r="CW183" s="299"/>
      <c r="CX183" s="299"/>
      <c r="CY183" s="299"/>
      <c r="CZ183" s="299"/>
      <c r="DA183" s="299"/>
      <c r="DB183" s="299"/>
      <c r="DC183" s="299"/>
      <c r="DD183" s="299"/>
      <c r="DE183" s="299"/>
      <c r="DF183" s="299"/>
      <c r="DG183" s="299"/>
      <c r="DH183" s="299"/>
      <c r="DI183" s="299"/>
      <c r="DJ183" s="299"/>
      <c r="DK183" s="299"/>
      <c r="DL183" s="299"/>
      <c r="DM183" s="299"/>
      <c r="DN183" s="299"/>
      <c r="DO183" s="299"/>
      <c r="DP183" s="299"/>
      <c r="DQ183" s="299"/>
      <c r="DR183" s="299"/>
      <c r="DS183" s="298"/>
      <c r="DT183" s="298"/>
      <c r="DU183" s="298"/>
      <c r="DV183" s="298"/>
      <c r="DW183" s="298"/>
      <c r="DX183" s="298"/>
      <c r="DY183" s="298"/>
      <c r="DZ183" s="298"/>
      <c r="EA183" s="298"/>
      <c r="EB183" s="298"/>
      <c r="EC183" s="298"/>
      <c r="ED183" s="298"/>
      <c r="EE183" s="298"/>
      <c r="EF183" s="298"/>
      <c r="EG183" s="298"/>
    </row>
    <row r="184" spans="49:137" ht="11.75" customHeight="1" x14ac:dyDescent="0.15">
      <c r="AW184" s="298"/>
      <c r="AX184" s="298"/>
      <c r="AY184" s="298"/>
      <c r="AZ184" s="298"/>
      <c r="BA184" s="298"/>
      <c r="BB184" s="298"/>
      <c r="BC184" s="298"/>
      <c r="BD184" s="298"/>
      <c r="BE184" s="298"/>
      <c r="BF184" s="298"/>
      <c r="BG184" s="298"/>
      <c r="BH184" s="298"/>
      <c r="BI184" s="298"/>
      <c r="BJ184" s="298"/>
      <c r="BK184" s="298"/>
      <c r="BL184" s="298"/>
      <c r="BM184" s="298"/>
      <c r="BN184" s="298"/>
      <c r="BO184" s="298"/>
      <c r="BP184" s="298"/>
      <c r="BQ184" s="298"/>
      <c r="BR184" s="298"/>
      <c r="BS184" s="298"/>
      <c r="BT184" s="298"/>
      <c r="BU184" s="298"/>
      <c r="BV184" s="298"/>
      <c r="BW184" s="298"/>
      <c r="BX184" s="299"/>
      <c r="BY184" s="299"/>
      <c r="BZ184" s="299"/>
      <c r="CA184" s="299"/>
      <c r="CB184" s="299"/>
      <c r="CC184" s="299"/>
      <c r="CD184" s="299"/>
      <c r="CE184" s="299"/>
      <c r="CF184" s="299"/>
      <c r="CG184" s="299"/>
      <c r="CH184" s="299"/>
      <c r="CI184" s="299"/>
      <c r="CJ184" s="299"/>
      <c r="CK184" s="299"/>
      <c r="CL184" s="299"/>
      <c r="CM184" s="299"/>
      <c r="CN184" s="299"/>
      <c r="CO184" s="299"/>
      <c r="CP184" s="299"/>
      <c r="CQ184" s="299"/>
      <c r="CR184" s="299"/>
      <c r="CS184" s="299"/>
      <c r="CT184" s="299"/>
      <c r="CU184" s="299"/>
      <c r="CV184" s="299"/>
      <c r="CW184" s="299"/>
      <c r="CX184" s="299"/>
      <c r="CY184" s="299"/>
      <c r="CZ184" s="299"/>
      <c r="DA184" s="299"/>
      <c r="DB184" s="299"/>
      <c r="DC184" s="299"/>
      <c r="DD184" s="299"/>
      <c r="DE184" s="299"/>
      <c r="DF184" s="299"/>
      <c r="DG184" s="299"/>
      <c r="DH184" s="299"/>
      <c r="DI184" s="299"/>
      <c r="DJ184" s="299"/>
      <c r="DK184" s="299"/>
      <c r="DL184" s="299"/>
      <c r="DM184" s="299"/>
      <c r="DN184" s="299"/>
      <c r="DO184" s="299"/>
      <c r="DP184" s="299"/>
      <c r="DQ184" s="299"/>
      <c r="DR184" s="299"/>
      <c r="DS184" s="298"/>
      <c r="DT184" s="298"/>
      <c r="DU184" s="298"/>
      <c r="DV184" s="298"/>
      <c r="DW184" s="298"/>
      <c r="DX184" s="298"/>
      <c r="DY184" s="298"/>
      <c r="DZ184" s="298"/>
      <c r="EA184" s="298"/>
      <c r="EB184" s="298"/>
      <c r="EC184" s="298"/>
      <c r="ED184" s="298"/>
      <c r="EE184" s="298"/>
      <c r="EF184" s="298"/>
      <c r="EG184" s="298"/>
    </row>
    <row r="185" spans="49:137" ht="11.75" customHeight="1" x14ac:dyDescent="0.15">
      <c r="AW185" s="298"/>
      <c r="AX185" s="298"/>
      <c r="AY185" s="298"/>
      <c r="AZ185" s="298"/>
      <c r="BA185" s="298"/>
      <c r="BB185" s="298"/>
      <c r="BC185" s="298"/>
      <c r="BD185" s="298"/>
      <c r="BE185" s="298"/>
      <c r="BF185" s="298"/>
      <c r="BG185" s="298"/>
      <c r="BH185" s="298"/>
      <c r="BI185" s="298"/>
      <c r="BJ185" s="298"/>
      <c r="BK185" s="298"/>
      <c r="BL185" s="298"/>
      <c r="BM185" s="298"/>
      <c r="BN185" s="298"/>
      <c r="BO185" s="298"/>
      <c r="BP185" s="298"/>
      <c r="BQ185" s="298"/>
      <c r="BR185" s="298"/>
      <c r="BS185" s="298"/>
      <c r="BT185" s="298"/>
      <c r="BU185" s="298"/>
      <c r="BV185" s="298"/>
      <c r="BW185" s="298"/>
      <c r="BX185" s="299"/>
      <c r="BY185" s="299"/>
      <c r="BZ185" s="299"/>
      <c r="CA185" s="299"/>
      <c r="CB185" s="299"/>
      <c r="CC185" s="299"/>
      <c r="CD185" s="299"/>
      <c r="CE185" s="299"/>
      <c r="CF185" s="299"/>
      <c r="CG185" s="299"/>
      <c r="CH185" s="299"/>
      <c r="CI185" s="299"/>
      <c r="CJ185" s="299"/>
      <c r="CK185" s="299"/>
      <c r="CL185" s="299"/>
      <c r="CM185" s="299"/>
      <c r="CN185" s="299"/>
      <c r="CO185" s="299"/>
      <c r="CP185" s="299"/>
      <c r="CQ185" s="299"/>
      <c r="CR185" s="299"/>
      <c r="CS185" s="299"/>
      <c r="CT185" s="299"/>
      <c r="CU185" s="299"/>
      <c r="CV185" s="299"/>
      <c r="CW185" s="299"/>
      <c r="CX185" s="299"/>
      <c r="CY185" s="299"/>
      <c r="CZ185" s="299"/>
      <c r="DA185" s="299"/>
      <c r="DB185" s="299"/>
      <c r="DC185" s="299"/>
      <c r="DD185" s="299"/>
      <c r="DE185" s="299"/>
      <c r="DF185" s="299"/>
      <c r="DG185" s="299"/>
      <c r="DH185" s="299"/>
      <c r="DI185" s="299"/>
      <c r="DJ185" s="299"/>
      <c r="DK185" s="299"/>
      <c r="DL185" s="299"/>
      <c r="DM185" s="299"/>
      <c r="DN185" s="299"/>
      <c r="DO185" s="299"/>
      <c r="DP185" s="299"/>
      <c r="DQ185" s="299"/>
      <c r="DR185" s="299"/>
      <c r="DS185" s="298"/>
      <c r="DT185" s="298"/>
      <c r="DU185" s="298"/>
      <c r="DV185" s="298"/>
      <c r="DW185" s="298"/>
      <c r="DX185" s="298"/>
      <c r="DY185" s="298"/>
      <c r="DZ185" s="298"/>
      <c r="EA185" s="298"/>
      <c r="EB185" s="298"/>
      <c r="EC185" s="298"/>
      <c r="ED185" s="298"/>
      <c r="EE185" s="298"/>
      <c r="EF185" s="298"/>
      <c r="EG185" s="298"/>
    </row>
    <row r="186" spans="49:137" ht="11.75" customHeight="1" x14ac:dyDescent="0.15">
      <c r="AW186" s="298"/>
      <c r="AX186" s="298"/>
      <c r="AY186" s="298"/>
      <c r="AZ186" s="298"/>
      <c r="BA186" s="298"/>
      <c r="BB186" s="298"/>
      <c r="BC186" s="298"/>
      <c r="BD186" s="298"/>
      <c r="BE186" s="298"/>
      <c r="BF186" s="298"/>
      <c r="BG186" s="298"/>
      <c r="BH186" s="298"/>
      <c r="BI186" s="298"/>
      <c r="BJ186" s="298"/>
      <c r="BK186" s="298"/>
      <c r="BL186" s="298"/>
      <c r="BM186" s="298"/>
      <c r="BN186" s="298"/>
      <c r="BO186" s="298"/>
      <c r="BP186" s="298"/>
      <c r="BQ186" s="298"/>
      <c r="BR186" s="298"/>
      <c r="BS186" s="298"/>
      <c r="BT186" s="298"/>
      <c r="BU186" s="298"/>
      <c r="BV186" s="298"/>
      <c r="BW186" s="298"/>
      <c r="BX186" s="299"/>
      <c r="BY186" s="299"/>
      <c r="BZ186" s="299"/>
      <c r="CA186" s="299"/>
      <c r="CB186" s="299"/>
      <c r="CC186" s="299"/>
      <c r="CD186" s="299"/>
      <c r="CE186" s="299"/>
      <c r="CF186" s="299"/>
      <c r="CG186" s="299"/>
      <c r="CH186" s="299"/>
      <c r="CI186" s="299"/>
      <c r="CJ186" s="299"/>
      <c r="CK186" s="299"/>
      <c r="CL186" s="299"/>
      <c r="CM186" s="299"/>
      <c r="CN186" s="299"/>
      <c r="CO186" s="299"/>
      <c r="CP186" s="299"/>
      <c r="CQ186" s="299"/>
      <c r="CR186" s="299"/>
      <c r="CS186" s="299"/>
      <c r="CT186" s="299"/>
      <c r="CU186" s="299"/>
      <c r="CV186" s="299"/>
      <c r="CW186" s="299"/>
      <c r="CX186" s="299"/>
      <c r="CY186" s="299"/>
      <c r="CZ186" s="299"/>
      <c r="DA186" s="299"/>
      <c r="DB186" s="299"/>
      <c r="DC186" s="299"/>
      <c r="DD186" s="299"/>
      <c r="DE186" s="299"/>
      <c r="DF186" s="299"/>
      <c r="DG186" s="299"/>
      <c r="DH186" s="299"/>
      <c r="DI186" s="299"/>
      <c r="DJ186" s="299"/>
      <c r="DK186" s="299"/>
      <c r="DL186" s="299"/>
      <c r="DM186" s="299"/>
      <c r="DN186" s="299"/>
      <c r="DO186" s="299"/>
      <c r="DP186" s="299"/>
      <c r="DQ186" s="299"/>
      <c r="DR186" s="299"/>
      <c r="DS186" s="298"/>
      <c r="DT186" s="298"/>
      <c r="DU186" s="298"/>
      <c r="DV186" s="298"/>
      <c r="DW186" s="298"/>
      <c r="DX186" s="298"/>
      <c r="DY186" s="298"/>
      <c r="DZ186" s="298"/>
      <c r="EA186" s="298"/>
      <c r="EB186" s="298"/>
      <c r="EC186" s="298"/>
      <c r="ED186" s="298"/>
      <c r="EE186" s="298"/>
      <c r="EF186" s="298"/>
      <c r="EG186" s="298"/>
    </row>
    <row r="187" spans="49:137" ht="11.75" customHeight="1" x14ac:dyDescent="0.15">
      <c r="AW187" s="298"/>
      <c r="AX187" s="298"/>
      <c r="AY187" s="298"/>
      <c r="AZ187" s="298"/>
      <c r="BA187" s="298"/>
      <c r="BB187" s="298"/>
      <c r="BC187" s="298"/>
      <c r="BD187" s="298"/>
      <c r="BE187" s="298"/>
      <c r="BF187" s="298"/>
      <c r="BG187" s="298"/>
      <c r="BH187" s="298"/>
      <c r="BI187" s="298"/>
      <c r="BJ187" s="298"/>
      <c r="BK187" s="298"/>
      <c r="BL187" s="298"/>
      <c r="BM187" s="298"/>
      <c r="BN187" s="298"/>
      <c r="BO187" s="298"/>
      <c r="BP187" s="298"/>
      <c r="BQ187" s="298"/>
      <c r="BR187" s="298"/>
      <c r="BS187" s="298"/>
      <c r="BT187" s="298"/>
      <c r="BU187" s="298"/>
      <c r="BV187" s="298"/>
      <c r="BW187" s="298"/>
      <c r="BX187" s="299"/>
      <c r="BY187" s="299"/>
      <c r="BZ187" s="299"/>
      <c r="CA187" s="299"/>
      <c r="CB187" s="299"/>
      <c r="CC187" s="299"/>
      <c r="CD187" s="299"/>
      <c r="CE187" s="299"/>
      <c r="CF187" s="299"/>
      <c r="CG187" s="299"/>
      <c r="CH187" s="299"/>
      <c r="CI187" s="299"/>
      <c r="CJ187" s="299"/>
      <c r="CK187" s="299"/>
      <c r="CL187" s="299"/>
      <c r="CM187" s="299"/>
      <c r="CN187" s="299"/>
      <c r="CO187" s="299"/>
      <c r="CP187" s="299"/>
      <c r="CQ187" s="299"/>
      <c r="CR187" s="299"/>
      <c r="CS187" s="299"/>
      <c r="CT187" s="299"/>
      <c r="CU187" s="299"/>
      <c r="CV187" s="299"/>
      <c r="CW187" s="299"/>
      <c r="CX187" s="299"/>
      <c r="CY187" s="299"/>
      <c r="CZ187" s="299"/>
      <c r="DA187" s="299"/>
      <c r="DB187" s="299"/>
      <c r="DC187" s="299"/>
      <c r="DD187" s="299"/>
      <c r="DE187" s="299"/>
      <c r="DF187" s="299"/>
      <c r="DG187" s="299"/>
      <c r="DH187" s="299"/>
      <c r="DI187" s="299"/>
      <c r="DJ187" s="299"/>
      <c r="DK187" s="299"/>
      <c r="DL187" s="299"/>
      <c r="DM187" s="299"/>
      <c r="DN187" s="299"/>
      <c r="DO187" s="299"/>
      <c r="DP187" s="299"/>
      <c r="DQ187" s="299"/>
      <c r="DR187" s="299"/>
      <c r="DS187" s="298"/>
      <c r="DT187" s="298"/>
      <c r="DU187" s="298"/>
      <c r="DV187" s="298"/>
      <c r="DW187" s="298"/>
      <c r="DX187" s="298"/>
      <c r="DY187" s="298"/>
      <c r="DZ187" s="298"/>
      <c r="EA187" s="298"/>
      <c r="EB187" s="298"/>
      <c r="EC187" s="298"/>
      <c r="ED187" s="298"/>
      <c r="EE187" s="298"/>
      <c r="EF187" s="298"/>
      <c r="EG187" s="298"/>
    </row>
    <row r="188" spans="49:137" ht="11.75" customHeight="1" x14ac:dyDescent="0.15">
      <c r="AW188" s="298"/>
      <c r="AX188" s="298"/>
      <c r="AY188" s="298"/>
      <c r="AZ188" s="298"/>
      <c r="BA188" s="298"/>
      <c r="BB188" s="298"/>
      <c r="BC188" s="298"/>
      <c r="BD188" s="298"/>
      <c r="BE188" s="298"/>
      <c r="BF188" s="298"/>
      <c r="BG188" s="298"/>
      <c r="BH188" s="298"/>
      <c r="BI188" s="298"/>
      <c r="BJ188" s="298"/>
      <c r="BK188" s="298"/>
      <c r="BL188" s="298"/>
      <c r="BM188" s="298"/>
      <c r="BN188" s="298"/>
      <c r="BO188" s="298"/>
      <c r="BP188" s="298"/>
      <c r="BQ188" s="298"/>
      <c r="BR188" s="298"/>
      <c r="BS188" s="298"/>
      <c r="BT188" s="298"/>
      <c r="BU188" s="298"/>
      <c r="BV188" s="298"/>
      <c r="BW188" s="298"/>
      <c r="BX188" s="299"/>
      <c r="BY188" s="299"/>
      <c r="BZ188" s="299"/>
      <c r="CA188" s="299"/>
      <c r="CB188" s="299"/>
      <c r="CC188" s="299"/>
      <c r="CD188" s="299"/>
      <c r="CE188" s="299"/>
      <c r="CF188" s="299"/>
      <c r="CG188" s="299"/>
      <c r="CH188" s="299"/>
      <c r="CI188" s="299"/>
      <c r="CJ188" s="299"/>
      <c r="CK188" s="299"/>
      <c r="CL188" s="299"/>
      <c r="CM188" s="299"/>
      <c r="CN188" s="299"/>
      <c r="CO188" s="299"/>
      <c r="CP188" s="299"/>
      <c r="CQ188" s="299"/>
      <c r="CR188" s="299"/>
      <c r="CS188" s="299"/>
      <c r="CT188" s="299"/>
      <c r="CU188" s="299"/>
      <c r="CV188" s="299"/>
      <c r="CW188" s="299"/>
      <c r="CX188" s="299"/>
      <c r="CY188" s="299"/>
      <c r="CZ188" s="299"/>
      <c r="DA188" s="299"/>
      <c r="DB188" s="299"/>
      <c r="DC188" s="299"/>
      <c r="DD188" s="299"/>
      <c r="DE188" s="299"/>
      <c r="DF188" s="299"/>
      <c r="DG188" s="299"/>
      <c r="DH188" s="299"/>
      <c r="DI188" s="299"/>
      <c r="DJ188" s="299"/>
      <c r="DK188" s="299"/>
      <c r="DL188" s="299"/>
      <c r="DM188" s="299"/>
      <c r="DN188" s="299"/>
      <c r="DO188" s="299"/>
      <c r="DP188" s="299"/>
      <c r="DQ188" s="299"/>
      <c r="DR188" s="299"/>
      <c r="DS188" s="298"/>
      <c r="DT188" s="298"/>
      <c r="DU188" s="298"/>
      <c r="DV188" s="298"/>
      <c r="DW188" s="298"/>
      <c r="DX188" s="298"/>
      <c r="DY188" s="298"/>
      <c r="DZ188" s="298"/>
      <c r="EA188" s="298"/>
      <c r="EB188" s="298"/>
      <c r="EC188" s="298"/>
      <c r="ED188" s="298"/>
      <c r="EE188" s="298"/>
      <c r="EF188" s="298"/>
      <c r="EG188" s="298"/>
    </row>
    <row r="189" spans="49:137" ht="11.75" customHeight="1" x14ac:dyDescent="0.15">
      <c r="AW189" s="298"/>
      <c r="AX189" s="298"/>
      <c r="AY189" s="298"/>
      <c r="AZ189" s="298"/>
      <c r="BA189" s="298"/>
      <c r="BB189" s="298"/>
      <c r="BC189" s="298"/>
      <c r="BD189" s="298"/>
      <c r="BE189" s="298"/>
      <c r="BF189" s="298"/>
      <c r="BG189" s="298"/>
      <c r="BH189" s="298"/>
      <c r="BI189" s="298"/>
      <c r="BJ189" s="298"/>
      <c r="BK189" s="298"/>
      <c r="BL189" s="298"/>
      <c r="BM189" s="298"/>
      <c r="BN189" s="298"/>
      <c r="BO189" s="298"/>
      <c r="BP189" s="298"/>
      <c r="BQ189" s="298"/>
      <c r="BR189" s="298"/>
      <c r="BS189" s="298"/>
      <c r="BT189" s="298"/>
      <c r="BU189" s="298"/>
      <c r="BV189" s="298"/>
      <c r="BW189" s="298"/>
      <c r="BX189" s="299"/>
      <c r="BY189" s="299"/>
      <c r="BZ189" s="299"/>
      <c r="CA189" s="299"/>
      <c r="CB189" s="299"/>
      <c r="CC189" s="299"/>
      <c r="CD189" s="299"/>
      <c r="CE189" s="299"/>
      <c r="CF189" s="299"/>
      <c r="CG189" s="299"/>
      <c r="CH189" s="299"/>
      <c r="CI189" s="299"/>
      <c r="CJ189" s="299"/>
      <c r="CK189" s="299"/>
      <c r="CL189" s="299"/>
      <c r="CM189" s="299"/>
      <c r="CN189" s="299"/>
      <c r="CO189" s="299"/>
      <c r="CP189" s="299"/>
      <c r="CQ189" s="299"/>
      <c r="CR189" s="299"/>
      <c r="CS189" s="299"/>
      <c r="CT189" s="299"/>
      <c r="CU189" s="299"/>
      <c r="CV189" s="299"/>
      <c r="CW189" s="299"/>
      <c r="CX189" s="299"/>
      <c r="CY189" s="299"/>
      <c r="CZ189" s="299"/>
      <c r="DA189" s="299"/>
      <c r="DB189" s="299"/>
      <c r="DC189" s="299"/>
      <c r="DD189" s="299"/>
      <c r="DE189" s="299"/>
      <c r="DF189" s="299"/>
      <c r="DG189" s="299"/>
      <c r="DH189" s="299"/>
      <c r="DI189" s="299"/>
      <c r="DJ189" s="299"/>
      <c r="DK189" s="299"/>
      <c r="DL189" s="299"/>
      <c r="DM189" s="299"/>
      <c r="DN189" s="299"/>
      <c r="DO189" s="299"/>
      <c r="DP189" s="299"/>
      <c r="DQ189" s="299"/>
      <c r="DR189" s="299"/>
      <c r="DS189" s="298"/>
      <c r="DT189" s="298"/>
      <c r="DU189" s="298"/>
      <c r="DV189" s="298"/>
      <c r="DW189" s="298"/>
      <c r="DX189" s="298"/>
      <c r="DY189" s="298"/>
      <c r="DZ189" s="298"/>
      <c r="EA189" s="298"/>
      <c r="EB189" s="298"/>
      <c r="EC189" s="298"/>
      <c r="ED189" s="298"/>
      <c r="EE189" s="298"/>
      <c r="EF189" s="298"/>
      <c r="EG189" s="298"/>
    </row>
    <row r="190" spans="49:137" ht="11.75" customHeight="1" x14ac:dyDescent="0.15">
      <c r="AW190" s="298"/>
      <c r="AX190" s="298"/>
      <c r="AY190" s="298"/>
      <c r="AZ190" s="298"/>
      <c r="BA190" s="298"/>
      <c r="BB190" s="298"/>
      <c r="BC190" s="298"/>
      <c r="BD190" s="298"/>
      <c r="BE190" s="298"/>
      <c r="BF190" s="298"/>
      <c r="BG190" s="298"/>
      <c r="BH190" s="298"/>
      <c r="BI190" s="298"/>
      <c r="BJ190" s="298"/>
      <c r="BK190" s="298"/>
      <c r="BL190" s="298"/>
      <c r="BM190" s="298"/>
      <c r="BN190" s="298"/>
      <c r="BO190" s="298"/>
      <c r="BP190" s="298"/>
      <c r="BQ190" s="298"/>
      <c r="BR190" s="298"/>
      <c r="BS190" s="298"/>
      <c r="BT190" s="298"/>
      <c r="BU190" s="298"/>
      <c r="BV190" s="298"/>
      <c r="BW190" s="298"/>
      <c r="BX190" s="299"/>
      <c r="BY190" s="299"/>
      <c r="BZ190" s="299"/>
      <c r="CA190" s="299"/>
      <c r="CB190" s="299"/>
      <c r="CC190" s="299"/>
      <c r="CD190" s="299"/>
      <c r="CE190" s="299"/>
      <c r="CF190" s="299"/>
      <c r="CG190" s="299"/>
      <c r="CH190" s="299"/>
      <c r="CI190" s="299"/>
      <c r="CJ190" s="299"/>
      <c r="CK190" s="299"/>
      <c r="CL190" s="299"/>
      <c r="CM190" s="299"/>
      <c r="CN190" s="299"/>
      <c r="CO190" s="299"/>
      <c r="CP190" s="299"/>
      <c r="CQ190" s="299"/>
      <c r="CR190" s="299"/>
      <c r="CS190" s="299"/>
      <c r="CT190" s="299"/>
      <c r="CU190" s="299"/>
      <c r="CV190" s="299"/>
      <c r="CW190" s="299"/>
      <c r="CX190" s="299"/>
      <c r="CY190" s="299"/>
      <c r="CZ190" s="299"/>
      <c r="DA190" s="299"/>
      <c r="DB190" s="299"/>
      <c r="DC190" s="299"/>
      <c r="DD190" s="299"/>
      <c r="DE190" s="299"/>
      <c r="DF190" s="299"/>
      <c r="DG190" s="299"/>
      <c r="DH190" s="299"/>
      <c r="DI190" s="299"/>
      <c r="DJ190" s="299"/>
      <c r="DK190" s="299"/>
      <c r="DL190" s="299"/>
      <c r="DM190" s="299"/>
      <c r="DN190" s="299"/>
      <c r="DO190" s="299"/>
      <c r="DP190" s="299"/>
      <c r="DQ190" s="299"/>
      <c r="DR190" s="299"/>
      <c r="DS190" s="298"/>
      <c r="DT190" s="298"/>
      <c r="DU190" s="298"/>
      <c r="DV190" s="298"/>
      <c r="DW190" s="298"/>
      <c r="DX190" s="298"/>
      <c r="DY190" s="298"/>
      <c r="DZ190" s="298"/>
      <c r="EA190" s="298"/>
      <c r="EB190" s="298"/>
      <c r="EC190" s="298"/>
      <c r="ED190" s="298"/>
      <c r="EE190" s="298"/>
      <c r="EF190" s="298"/>
      <c r="EG190" s="298"/>
    </row>
    <row r="191" spans="49:137" ht="11.75" customHeight="1" x14ac:dyDescent="0.15">
      <c r="AW191" s="298"/>
      <c r="AX191" s="298"/>
      <c r="AY191" s="298"/>
      <c r="AZ191" s="298"/>
      <c r="BA191" s="298"/>
      <c r="BB191" s="298"/>
      <c r="BC191" s="298"/>
      <c r="BD191" s="298"/>
      <c r="BE191" s="298"/>
      <c r="BF191" s="298"/>
      <c r="BG191" s="298"/>
      <c r="BH191" s="298"/>
      <c r="BI191" s="298"/>
      <c r="BJ191" s="298"/>
      <c r="BK191" s="298"/>
      <c r="BL191" s="298"/>
      <c r="BM191" s="298"/>
      <c r="BN191" s="298"/>
      <c r="BO191" s="298"/>
      <c r="BP191" s="298"/>
      <c r="BQ191" s="298"/>
      <c r="BR191" s="298"/>
      <c r="BS191" s="298"/>
      <c r="BT191" s="298"/>
      <c r="BU191" s="298"/>
      <c r="BV191" s="298"/>
      <c r="BW191" s="298"/>
      <c r="BX191" s="299"/>
      <c r="BY191" s="299"/>
      <c r="BZ191" s="299"/>
      <c r="CA191" s="299"/>
      <c r="CB191" s="299"/>
      <c r="CC191" s="299"/>
      <c r="CD191" s="299"/>
      <c r="CE191" s="299"/>
      <c r="CF191" s="299"/>
      <c r="CG191" s="299"/>
      <c r="CH191" s="299"/>
      <c r="CI191" s="299"/>
      <c r="CJ191" s="299"/>
      <c r="CK191" s="299"/>
      <c r="CL191" s="299"/>
      <c r="CM191" s="299"/>
      <c r="CN191" s="299"/>
      <c r="CO191" s="299"/>
      <c r="CP191" s="299"/>
      <c r="CQ191" s="299"/>
      <c r="CR191" s="299"/>
      <c r="CS191" s="299"/>
      <c r="CT191" s="299"/>
      <c r="CU191" s="299"/>
      <c r="CV191" s="299"/>
      <c r="CW191" s="299"/>
      <c r="CX191" s="299"/>
      <c r="CY191" s="299"/>
      <c r="CZ191" s="299"/>
      <c r="DA191" s="299"/>
      <c r="DB191" s="299"/>
      <c r="DC191" s="299"/>
      <c r="DD191" s="299"/>
      <c r="DE191" s="299"/>
      <c r="DF191" s="299"/>
      <c r="DG191" s="299"/>
      <c r="DH191" s="299"/>
      <c r="DI191" s="299"/>
      <c r="DJ191" s="299"/>
      <c r="DK191" s="299"/>
      <c r="DL191" s="299"/>
      <c r="DM191" s="299"/>
      <c r="DN191" s="299"/>
      <c r="DO191" s="299"/>
      <c r="DP191" s="299"/>
      <c r="DQ191" s="299"/>
      <c r="DR191" s="299"/>
      <c r="DS191" s="298"/>
      <c r="DT191" s="298"/>
      <c r="DU191" s="298"/>
      <c r="DV191" s="298"/>
      <c r="DW191" s="298"/>
      <c r="DX191" s="298"/>
      <c r="DY191" s="298"/>
      <c r="DZ191" s="298"/>
      <c r="EA191" s="298"/>
      <c r="EB191" s="298"/>
      <c r="EC191" s="298"/>
      <c r="ED191" s="298"/>
      <c r="EE191" s="298"/>
      <c r="EF191" s="298"/>
      <c r="EG191" s="298"/>
    </row>
    <row r="192" spans="49:137" ht="11.75" customHeight="1" x14ac:dyDescent="0.15">
      <c r="AW192" s="298"/>
      <c r="AX192" s="298"/>
      <c r="AY192" s="298"/>
      <c r="AZ192" s="298"/>
      <c r="BA192" s="298"/>
      <c r="BB192" s="298"/>
      <c r="BC192" s="298"/>
      <c r="BD192" s="298"/>
      <c r="BE192" s="298"/>
      <c r="BF192" s="298"/>
      <c r="BG192" s="298"/>
      <c r="BH192" s="298"/>
      <c r="BI192" s="298"/>
      <c r="BJ192" s="298"/>
      <c r="BK192" s="298"/>
      <c r="BL192" s="298"/>
      <c r="BM192" s="298"/>
      <c r="BN192" s="298"/>
      <c r="BO192" s="298"/>
      <c r="BP192" s="298"/>
      <c r="BQ192" s="298"/>
      <c r="BR192" s="298"/>
      <c r="BS192" s="298"/>
      <c r="BT192" s="298"/>
      <c r="BU192" s="298"/>
      <c r="BV192" s="298"/>
      <c r="BW192" s="298"/>
      <c r="BX192" s="299"/>
      <c r="BY192" s="299"/>
      <c r="BZ192" s="299"/>
      <c r="CA192" s="299"/>
      <c r="CB192" s="299"/>
      <c r="CC192" s="299"/>
      <c r="CD192" s="299"/>
      <c r="CE192" s="299"/>
      <c r="CF192" s="299"/>
      <c r="CG192" s="299"/>
      <c r="CH192" s="299"/>
      <c r="CI192" s="299"/>
      <c r="CJ192" s="299"/>
      <c r="CK192" s="299"/>
      <c r="CL192" s="299"/>
      <c r="CM192" s="299"/>
      <c r="CN192" s="299"/>
      <c r="CO192" s="299"/>
      <c r="CP192" s="299"/>
      <c r="CQ192" s="299"/>
      <c r="CR192" s="299"/>
      <c r="CS192" s="299"/>
      <c r="CT192" s="299"/>
      <c r="CU192" s="299"/>
      <c r="CV192" s="299"/>
      <c r="CW192" s="299"/>
      <c r="CX192" s="299"/>
      <c r="CY192" s="299"/>
      <c r="CZ192" s="299"/>
      <c r="DA192" s="299"/>
      <c r="DB192" s="299"/>
      <c r="DC192" s="299"/>
      <c r="DD192" s="299"/>
      <c r="DE192" s="299"/>
      <c r="DF192" s="299"/>
      <c r="DG192" s="299"/>
      <c r="DH192" s="299"/>
      <c r="DI192" s="299"/>
      <c r="DJ192" s="299"/>
      <c r="DK192" s="299"/>
      <c r="DL192" s="299"/>
      <c r="DM192" s="299"/>
      <c r="DN192" s="299"/>
      <c r="DO192" s="299"/>
      <c r="DP192" s="299"/>
      <c r="DQ192" s="299"/>
      <c r="DR192" s="299"/>
      <c r="DS192" s="298"/>
      <c r="DT192" s="298"/>
      <c r="DU192" s="298"/>
      <c r="DV192" s="298"/>
      <c r="DW192" s="298"/>
      <c r="DX192" s="298"/>
      <c r="DY192" s="298"/>
      <c r="DZ192" s="298"/>
      <c r="EA192" s="298"/>
      <c r="EB192" s="298"/>
      <c r="EC192" s="298"/>
      <c r="ED192" s="298"/>
      <c r="EE192" s="298"/>
      <c r="EF192" s="298"/>
      <c r="EG192" s="298"/>
    </row>
    <row r="193" spans="49:137" ht="11.75" customHeight="1" x14ac:dyDescent="0.15">
      <c r="AW193" s="298"/>
      <c r="AX193" s="298"/>
      <c r="AY193" s="298"/>
      <c r="AZ193" s="298"/>
      <c r="BA193" s="298"/>
      <c r="BB193" s="298"/>
      <c r="BC193" s="298"/>
      <c r="BD193" s="298"/>
      <c r="BE193" s="298"/>
      <c r="BF193" s="298"/>
      <c r="BG193" s="298"/>
      <c r="BH193" s="298"/>
      <c r="BI193" s="298"/>
      <c r="BJ193" s="298"/>
      <c r="BK193" s="298"/>
      <c r="BL193" s="298"/>
      <c r="BM193" s="298"/>
      <c r="BN193" s="298"/>
      <c r="BO193" s="298"/>
      <c r="BP193" s="298"/>
      <c r="BQ193" s="298"/>
      <c r="BR193" s="298"/>
      <c r="BS193" s="298"/>
      <c r="BT193" s="298"/>
      <c r="BU193" s="298"/>
      <c r="BV193" s="298"/>
      <c r="BW193" s="298"/>
      <c r="BX193" s="299"/>
      <c r="BY193" s="299"/>
      <c r="BZ193" s="299"/>
      <c r="CA193" s="299"/>
      <c r="CB193" s="299"/>
      <c r="CC193" s="299"/>
      <c r="CD193" s="299"/>
      <c r="CE193" s="299"/>
      <c r="CF193" s="299"/>
      <c r="CG193" s="299"/>
      <c r="CH193" s="299"/>
      <c r="CI193" s="299"/>
      <c r="CJ193" s="299"/>
      <c r="CK193" s="299"/>
      <c r="CL193" s="299"/>
      <c r="CM193" s="299"/>
      <c r="CN193" s="299"/>
      <c r="CO193" s="299"/>
      <c r="CP193" s="299"/>
      <c r="CQ193" s="299"/>
      <c r="CR193" s="299"/>
      <c r="CS193" s="299"/>
      <c r="CT193" s="299"/>
      <c r="CU193" s="299"/>
      <c r="CV193" s="299"/>
      <c r="CW193" s="299"/>
      <c r="CX193" s="299"/>
      <c r="CY193" s="299"/>
      <c r="CZ193" s="299"/>
      <c r="DA193" s="299"/>
      <c r="DB193" s="299"/>
      <c r="DC193" s="299"/>
      <c r="DD193" s="299"/>
      <c r="DE193" s="299"/>
      <c r="DF193" s="299"/>
      <c r="DG193" s="299"/>
      <c r="DH193" s="299"/>
      <c r="DI193" s="299"/>
      <c r="DJ193" s="299"/>
      <c r="DK193" s="299"/>
      <c r="DL193" s="299"/>
      <c r="DM193" s="299"/>
      <c r="DN193" s="299"/>
      <c r="DO193" s="299"/>
      <c r="DP193" s="299"/>
      <c r="DQ193" s="299"/>
      <c r="DR193" s="299"/>
      <c r="DS193" s="298"/>
      <c r="DT193" s="298"/>
      <c r="DU193" s="298"/>
      <c r="DV193" s="298"/>
      <c r="DW193" s="298"/>
      <c r="DX193" s="298"/>
      <c r="DY193" s="298"/>
      <c r="DZ193" s="298"/>
      <c r="EA193" s="298"/>
      <c r="EB193" s="298"/>
      <c r="EC193" s="298"/>
      <c r="ED193" s="298"/>
      <c r="EE193" s="298"/>
      <c r="EF193" s="298"/>
      <c r="EG193" s="298"/>
    </row>
    <row r="194" spans="49:137" ht="11.75" customHeight="1" x14ac:dyDescent="0.15">
      <c r="AW194" s="298"/>
      <c r="AX194" s="298"/>
      <c r="AY194" s="298"/>
      <c r="AZ194" s="298"/>
      <c r="BA194" s="298"/>
      <c r="BB194" s="298"/>
      <c r="BC194" s="298"/>
      <c r="BD194" s="298"/>
      <c r="BE194" s="298"/>
      <c r="BF194" s="298"/>
      <c r="BG194" s="298"/>
      <c r="BH194" s="298"/>
      <c r="BI194" s="298"/>
      <c r="BJ194" s="298"/>
      <c r="BK194" s="298"/>
      <c r="BL194" s="298"/>
      <c r="BM194" s="298"/>
      <c r="BN194" s="298"/>
      <c r="BO194" s="298"/>
      <c r="BP194" s="298"/>
      <c r="BQ194" s="298"/>
      <c r="BR194" s="298"/>
      <c r="BS194" s="298"/>
      <c r="BT194" s="298"/>
      <c r="BU194" s="298"/>
      <c r="BV194" s="298"/>
      <c r="BW194" s="298"/>
      <c r="BX194" s="299"/>
      <c r="BY194" s="299"/>
      <c r="BZ194" s="299"/>
      <c r="CA194" s="299"/>
      <c r="CB194" s="299"/>
      <c r="CC194" s="299"/>
      <c r="CD194" s="299"/>
      <c r="CE194" s="299"/>
      <c r="CF194" s="299"/>
      <c r="CG194" s="299"/>
      <c r="CH194" s="299"/>
      <c r="CI194" s="299"/>
      <c r="CJ194" s="299"/>
      <c r="CK194" s="299"/>
      <c r="CL194" s="299"/>
      <c r="CM194" s="299"/>
      <c r="CN194" s="299"/>
      <c r="CO194" s="299"/>
      <c r="CP194" s="299"/>
      <c r="CQ194" s="299"/>
      <c r="CR194" s="299"/>
      <c r="CS194" s="299"/>
      <c r="CT194" s="299"/>
      <c r="CU194" s="299"/>
      <c r="CV194" s="299"/>
      <c r="CW194" s="299"/>
      <c r="CX194" s="299"/>
      <c r="CY194" s="299"/>
      <c r="CZ194" s="299"/>
      <c r="DA194" s="299"/>
      <c r="DB194" s="299"/>
      <c r="DC194" s="299"/>
      <c r="DD194" s="299"/>
      <c r="DE194" s="299"/>
      <c r="DF194" s="299"/>
      <c r="DG194" s="299"/>
      <c r="DH194" s="299"/>
      <c r="DI194" s="299"/>
      <c r="DJ194" s="299"/>
      <c r="DK194" s="299"/>
      <c r="DL194" s="299"/>
      <c r="DM194" s="299"/>
      <c r="DN194" s="299"/>
      <c r="DO194" s="299"/>
      <c r="DP194" s="299"/>
      <c r="DQ194" s="299"/>
      <c r="DR194" s="299"/>
      <c r="DS194" s="298"/>
      <c r="DT194" s="298"/>
      <c r="DU194" s="298"/>
      <c r="DV194" s="298"/>
      <c r="DW194" s="298"/>
      <c r="DX194" s="298"/>
      <c r="DY194" s="298"/>
      <c r="DZ194" s="298"/>
      <c r="EA194" s="298"/>
      <c r="EB194" s="298"/>
      <c r="EC194" s="298"/>
      <c r="ED194" s="298"/>
      <c r="EE194" s="298"/>
      <c r="EF194" s="298"/>
      <c r="EG194" s="298"/>
    </row>
    <row r="195" spans="49:137" ht="11.75" customHeight="1" x14ac:dyDescent="0.15">
      <c r="AW195" s="298"/>
      <c r="AX195" s="298"/>
      <c r="AY195" s="298"/>
      <c r="AZ195" s="298"/>
      <c r="BA195" s="298"/>
      <c r="BB195" s="298"/>
      <c r="BC195" s="298"/>
      <c r="BD195" s="298"/>
      <c r="BE195" s="298"/>
      <c r="BF195" s="298"/>
      <c r="BG195" s="298"/>
      <c r="BH195" s="298"/>
      <c r="BI195" s="298"/>
      <c r="BJ195" s="298"/>
      <c r="BK195" s="298"/>
      <c r="BL195" s="298"/>
      <c r="BM195" s="298"/>
      <c r="BN195" s="298"/>
      <c r="BO195" s="298"/>
      <c r="BP195" s="298"/>
      <c r="BQ195" s="298"/>
      <c r="BR195" s="298"/>
      <c r="BS195" s="298"/>
      <c r="BT195" s="298"/>
      <c r="BU195" s="298"/>
      <c r="BV195" s="298"/>
      <c r="BW195" s="298"/>
      <c r="BX195" s="299"/>
      <c r="BY195" s="299"/>
      <c r="BZ195" s="299"/>
      <c r="CA195" s="299"/>
      <c r="CB195" s="299"/>
      <c r="CC195" s="299"/>
      <c r="CD195" s="299"/>
      <c r="CE195" s="299"/>
      <c r="CF195" s="299"/>
      <c r="CG195" s="299"/>
      <c r="CH195" s="299"/>
      <c r="CI195" s="299"/>
      <c r="CJ195" s="299"/>
      <c r="CK195" s="299"/>
      <c r="CL195" s="299"/>
      <c r="CM195" s="299"/>
      <c r="CN195" s="299"/>
      <c r="CO195" s="299"/>
      <c r="CP195" s="299"/>
      <c r="CQ195" s="299"/>
      <c r="CR195" s="299"/>
      <c r="CS195" s="299"/>
      <c r="CT195" s="299"/>
      <c r="CU195" s="299"/>
      <c r="CV195" s="299"/>
      <c r="CW195" s="299"/>
      <c r="CX195" s="299"/>
      <c r="CY195" s="299"/>
      <c r="CZ195" s="299"/>
      <c r="DA195" s="299"/>
      <c r="DB195" s="299"/>
      <c r="DC195" s="299"/>
      <c r="DD195" s="299"/>
      <c r="DE195" s="299"/>
      <c r="DF195" s="299"/>
      <c r="DG195" s="299"/>
      <c r="DH195" s="299"/>
      <c r="DI195" s="299"/>
      <c r="DJ195" s="299"/>
      <c r="DK195" s="299"/>
      <c r="DL195" s="299"/>
      <c r="DM195" s="299"/>
      <c r="DN195" s="299"/>
      <c r="DO195" s="299"/>
      <c r="DP195" s="299"/>
      <c r="DQ195" s="299"/>
      <c r="DR195" s="299"/>
      <c r="DS195" s="298"/>
      <c r="DT195" s="298"/>
      <c r="DU195" s="298"/>
      <c r="DV195" s="298"/>
      <c r="DW195" s="298"/>
      <c r="DX195" s="298"/>
      <c r="DY195" s="298"/>
      <c r="DZ195" s="298"/>
      <c r="EA195" s="298"/>
      <c r="EB195" s="298"/>
      <c r="EC195" s="298"/>
      <c r="ED195" s="298"/>
      <c r="EE195" s="298"/>
      <c r="EF195" s="298"/>
      <c r="EG195" s="298"/>
    </row>
    <row r="196" spans="49:137" ht="11.75" customHeight="1" x14ac:dyDescent="0.15">
      <c r="AW196" s="298"/>
      <c r="AX196" s="298"/>
      <c r="AY196" s="298"/>
      <c r="AZ196" s="298"/>
      <c r="BA196" s="298"/>
      <c r="BB196" s="298"/>
      <c r="BC196" s="298"/>
      <c r="BD196" s="298"/>
      <c r="BE196" s="298"/>
      <c r="BF196" s="298"/>
      <c r="BG196" s="298"/>
      <c r="BH196" s="298"/>
      <c r="BI196" s="298"/>
      <c r="BJ196" s="298"/>
      <c r="BK196" s="298"/>
      <c r="BL196" s="298"/>
      <c r="BM196" s="298"/>
      <c r="BN196" s="298"/>
      <c r="BO196" s="298"/>
      <c r="BP196" s="298"/>
      <c r="BQ196" s="298"/>
      <c r="BR196" s="298"/>
      <c r="BS196" s="298"/>
      <c r="BT196" s="298"/>
      <c r="BU196" s="298"/>
      <c r="BV196" s="298"/>
      <c r="BW196" s="298"/>
      <c r="BX196" s="299"/>
      <c r="BY196" s="299"/>
      <c r="BZ196" s="299"/>
      <c r="CA196" s="299"/>
      <c r="CB196" s="299"/>
      <c r="CC196" s="299"/>
      <c r="CD196" s="299"/>
      <c r="CE196" s="299"/>
      <c r="CF196" s="299"/>
      <c r="CG196" s="299"/>
      <c r="CH196" s="299"/>
      <c r="CI196" s="299"/>
      <c r="CJ196" s="299"/>
      <c r="CK196" s="299"/>
      <c r="CL196" s="299"/>
      <c r="CM196" s="299"/>
      <c r="CN196" s="299"/>
      <c r="CO196" s="299"/>
      <c r="CP196" s="299"/>
      <c r="CQ196" s="299"/>
      <c r="CR196" s="299"/>
      <c r="CS196" s="299"/>
      <c r="CT196" s="299"/>
      <c r="CU196" s="299"/>
      <c r="CV196" s="299"/>
      <c r="CW196" s="299"/>
      <c r="CX196" s="299"/>
      <c r="CY196" s="299"/>
      <c r="CZ196" s="299"/>
      <c r="DA196" s="299"/>
      <c r="DB196" s="299"/>
      <c r="DC196" s="299"/>
      <c r="DD196" s="299"/>
      <c r="DE196" s="299"/>
      <c r="DF196" s="299"/>
      <c r="DG196" s="299"/>
      <c r="DH196" s="299"/>
      <c r="DI196" s="299"/>
      <c r="DJ196" s="299"/>
      <c r="DK196" s="299"/>
      <c r="DL196" s="299"/>
      <c r="DM196" s="299"/>
      <c r="DN196" s="299"/>
      <c r="DO196" s="299"/>
      <c r="DP196" s="299"/>
      <c r="DQ196" s="299"/>
      <c r="DR196" s="299"/>
      <c r="DS196" s="298"/>
      <c r="DT196" s="298"/>
      <c r="DU196" s="298"/>
      <c r="DV196" s="298"/>
      <c r="DW196" s="298"/>
      <c r="DX196" s="298"/>
      <c r="DY196" s="298"/>
      <c r="DZ196" s="298"/>
      <c r="EA196" s="298"/>
      <c r="EB196" s="298"/>
      <c r="EC196" s="298"/>
      <c r="ED196" s="298"/>
      <c r="EE196" s="298"/>
      <c r="EF196" s="298"/>
      <c r="EG196" s="298"/>
    </row>
    <row r="197" spans="49:137" ht="11.75" customHeight="1" x14ac:dyDescent="0.15">
      <c r="AW197" s="298"/>
      <c r="AX197" s="298"/>
      <c r="AY197" s="298"/>
      <c r="AZ197" s="298"/>
      <c r="BA197" s="298"/>
      <c r="BB197" s="298"/>
      <c r="BC197" s="298"/>
      <c r="BD197" s="298"/>
      <c r="BE197" s="298"/>
      <c r="BF197" s="298"/>
      <c r="BG197" s="298"/>
      <c r="BH197" s="298"/>
      <c r="BI197" s="298"/>
      <c r="BJ197" s="298"/>
      <c r="BK197" s="298"/>
      <c r="BL197" s="298"/>
      <c r="BM197" s="298"/>
      <c r="BN197" s="298"/>
      <c r="BO197" s="298"/>
      <c r="BP197" s="298"/>
      <c r="BQ197" s="298"/>
      <c r="BR197" s="298"/>
      <c r="BS197" s="298"/>
      <c r="BT197" s="298"/>
      <c r="BU197" s="298"/>
      <c r="BV197" s="298"/>
      <c r="BW197" s="298"/>
      <c r="BX197" s="299"/>
      <c r="BY197" s="299"/>
      <c r="BZ197" s="299"/>
      <c r="CA197" s="299"/>
      <c r="CB197" s="299"/>
      <c r="CC197" s="299"/>
      <c r="CD197" s="299"/>
      <c r="CE197" s="299"/>
      <c r="CF197" s="299"/>
      <c r="CG197" s="299"/>
      <c r="CH197" s="299"/>
      <c r="CI197" s="299"/>
      <c r="CJ197" s="299"/>
      <c r="CK197" s="299"/>
      <c r="CL197" s="299"/>
      <c r="CM197" s="299"/>
      <c r="CN197" s="299"/>
      <c r="CO197" s="299"/>
      <c r="CP197" s="299"/>
      <c r="CQ197" s="299"/>
      <c r="CR197" s="299"/>
      <c r="CS197" s="299"/>
      <c r="CT197" s="299"/>
      <c r="CU197" s="299"/>
      <c r="CV197" s="299"/>
      <c r="CW197" s="299"/>
      <c r="CX197" s="299"/>
      <c r="CY197" s="299"/>
      <c r="CZ197" s="299"/>
      <c r="DA197" s="299"/>
      <c r="DB197" s="299"/>
      <c r="DC197" s="299"/>
      <c r="DD197" s="299"/>
      <c r="DE197" s="299"/>
      <c r="DF197" s="299"/>
      <c r="DG197" s="299"/>
      <c r="DH197" s="299"/>
      <c r="DI197" s="299"/>
      <c r="DJ197" s="299"/>
      <c r="DK197" s="299"/>
      <c r="DL197" s="299"/>
      <c r="DM197" s="299"/>
      <c r="DN197" s="299"/>
      <c r="DO197" s="299"/>
      <c r="DP197" s="299"/>
      <c r="DQ197" s="299"/>
      <c r="DR197" s="299"/>
      <c r="DS197" s="298"/>
      <c r="DT197" s="298"/>
      <c r="DU197" s="298"/>
      <c r="DV197" s="298"/>
      <c r="DW197" s="298"/>
      <c r="DX197" s="298"/>
      <c r="DY197" s="298"/>
      <c r="DZ197" s="298"/>
      <c r="EA197" s="298"/>
      <c r="EB197" s="298"/>
      <c r="EC197" s="298"/>
      <c r="ED197" s="298"/>
      <c r="EE197" s="298"/>
      <c r="EF197" s="298"/>
      <c r="EG197" s="298"/>
    </row>
    <row r="198" spans="49:137" ht="11.75" customHeight="1" x14ac:dyDescent="0.15">
      <c r="AW198" s="298"/>
      <c r="AX198" s="298"/>
      <c r="AY198" s="298"/>
      <c r="AZ198" s="298"/>
      <c r="BA198" s="298"/>
      <c r="BB198" s="298"/>
      <c r="BC198" s="298"/>
      <c r="BD198" s="298"/>
      <c r="BE198" s="298"/>
      <c r="BF198" s="298"/>
      <c r="BG198" s="298"/>
      <c r="BH198" s="298"/>
      <c r="BI198" s="298"/>
      <c r="BJ198" s="298"/>
      <c r="BK198" s="298"/>
      <c r="BL198" s="298"/>
      <c r="BM198" s="298"/>
      <c r="BN198" s="298"/>
      <c r="BO198" s="298"/>
      <c r="BP198" s="298"/>
      <c r="BQ198" s="298"/>
      <c r="BR198" s="298"/>
      <c r="BS198" s="298"/>
      <c r="BT198" s="298"/>
      <c r="BU198" s="298"/>
      <c r="BV198" s="298"/>
      <c r="BW198" s="298"/>
      <c r="BX198" s="299"/>
      <c r="BY198" s="299"/>
      <c r="BZ198" s="299"/>
      <c r="CA198" s="299"/>
      <c r="CB198" s="299"/>
      <c r="CC198" s="299"/>
      <c r="CD198" s="299"/>
      <c r="CE198" s="299"/>
      <c r="CF198" s="299"/>
      <c r="CG198" s="299"/>
      <c r="CH198" s="299"/>
      <c r="CI198" s="299"/>
      <c r="CJ198" s="299"/>
      <c r="CK198" s="299"/>
      <c r="CL198" s="299"/>
      <c r="CM198" s="299"/>
      <c r="CN198" s="299"/>
      <c r="CO198" s="299"/>
      <c r="CP198" s="299"/>
      <c r="CQ198" s="299"/>
      <c r="CR198" s="299"/>
      <c r="CS198" s="299"/>
      <c r="CT198" s="299"/>
      <c r="CU198" s="299"/>
      <c r="CV198" s="299"/>
      <c r="CW198" s="299"/>
      <c r="CX198" s="299"/>
      <c r="CY198" s="299"/>
      <c r="CZ198" s="299"/>
      <c r="DA198" s="299"/>
      <c r="DB198" s="299"/>
      <c r="DC198" s="299"/>
      <c r="DD198" s="299"/>
      <c r="DE198" s="299"/>
      <c r="DF198" s="299"/>
      <c r="DG198" s="299"/>
      <c r="DH198" s="299"/>
      <c r="DI198" s="299"/>
      <c r="DJ198" s="299"/>
      <c r="DK198" s="299"/>
      <c r="DL198" s="299"/>
      <c r="DM198" s="299"/>
      <c r="DN198" s="299"/>
      <c r="DO198" s="299"/>
      <c r="DP198" s="299"/>
      <c r="DQ198" s="299"/>
      <c r="DR198" s="299"/>
      <c r="DS198" s="298"/>
      <c r="DT198" s="298"/>
      <c r="DU198" s="298"/>
      <c r="DV198" s="298"/>
      <c r="DW198" s="298"/>
      <c r="DX198" s="298"/>
      <c r="DY198" s="298"/>
      <c r="DZ198" s="298"/>
      <c r="EA198" s="298"/>
      <c r="EB198" s="298"/>
      <c r="EC198" s="298"/>
      <c r="ED198" s="298"/>
      <c r="EE198" s="298"/>
      <c r="EF198" s="298"/>
      <c r="EG198" s="298"/>
    </row>
    <row r="199" spans="49:137" ht="11.75" customHeight="1" x14ac:dyDescent="0.15">
      <c r="AW199" s="298"/>
      <c r="AX199" s="298"/>
      <c r="AY199" s="298"/>
      <c r="AZ199" s="298"/>
      <c r="BA199" s="298"/>
      <c r="BB199" s="298"/>
      <c r="BC199" s="298"/>
      <c r="BD199" s="298"/>
      <c r="BE199" s="298"/>
      <c r="BF199" s="298"/>
      <c r="BG199" s="298"/>
      <c r="BH199" s="298"/>
      <c r="BI199" s="298"/>
      <c r="BJ199" s="298"/>
      <c r="BK199" s="298"/>
      <c r="BL199" s="298"/>
      <c r="BM199" s="298"/>
      <c r="BN199" s="298"/>
      <c r="BO199" s="298"/>
      <c r="BP199" s="298"/>
      <c r="BQ199" s="298"/>
      <c r="BR199" s="298"/>
      <c r="BS199" s="298"/>
      <c r="BT199" s="298"/>
      <c r="BU199" s="298"/>
      <c r="BV199" s="298"/>
      <c r="BW199" s="298"/>
      <c r="BX199" s="299"/>
      <c r="BY199" s="299"/>
      <c r="BZ199" s="299"/>
      <c r="CA199" s="299"/>
      <c r="CB199" s="299"/>
      <c r="CC199" s="299"/>
      <c r="CD199" s="299"/>
      <c r="CE199" s="299"/>
      <c r="CF199" s="299"/>
      <c r="CG199" s="299"/>
      <c r="CH199" s="299"/>
      <c r="CI199" s="299"/>
      <c r="CJ199" s="299"/>
      <c r="CK199" s="299"/>
      <c r="CL199" s="299"/>
      <c r="CM199" s="299"/>
      <c r="CN199" s="299"/>
      <c r="CO199" s="299"/>
      <c r="CP199" s="299"/>
      <c r="CQ199" s="299"/>
      <c r="CR199" s="299"/>
      <c r="CS199" s="299"/>
      <c r="CT199" s="299"/>
      <c r="CU199" s="299"/>
      <c r="CV199" s="299"/>
      <c r="CW199" s="299"/>
      <c r="CX199" s="299"/>
      <c r="CY199" s="299"/>
      <c r="CZ199" s="299"/>
      <c r="DA199" s="299"/>
      <c r="DB199" s="299"/>
      <c r="DC199" s="299"/>
      <c r="DD199" s="299"/>
      <c r="DE199" s="299"/>
      <c r="DF199" s="299"/>
      <c r="DG199" s="299"/>
      <c r="DH199" s="299"/>
      <c r="DI199" s="299"/>
      <c r="DJ199" s="299"/>
      <c r="DK199" s="299"/>
      <c r="DL199" s="299"/>
      <c r="DM199" s="299"/>
      <c r="DN199" s="299"/>
      <c r="DO199" s="299"/>
      <c r="DP199" s="299"/>
      <c r="DQ199" s="299"/>
      <c r="DR199" s="299"/>
      <c r="DS199" s="298"/>
      <c r="DT199" s="298"/>
      <c r="DU199" s="298"/>
      <c r="DV199" s="298"/>
      <c r="DW199" s="298"/>
      <c r="DX199" s="298"/>
      <c r="DY199" s="298"/>
      <c r="DZ199" s="298"/>
      <c r="EA199" s="298"/>
      <c r="EB199" s="298"/>
      <c r="EC199" s="298"/>
      <c r="ED199" s="298"/>
      <c r="EE199" s="298"/>
      <c r="EF199" s="298"/>
      <c r="EG199" s="298"/>
    </row>
    <row r="200" spans="49:137" ht="11.75" customHeight="1" x14ac:dyDescent="0.15">
      <c r="AW200" s="298"/>
      <c r="AX200" s="298"/>
      <c r="AY200" s="298"/>
      <c r="AZ200" s="298"/>
      <c r="BA200" s="298"/>
      <c r="BB200" s="298"/>
      <c r="BC200" s="298"/>
      <c r="BD200" s="298"/>
      <c r="BE200" s="298"/>
      <c r="BF200" s="298"/>
      <c r="BG200" s="298"/>
      <c r="BH200" s="298"/>
      <c r="BI200" s="298"/>
      <c r="BJ200" s="298"/>
      <c r="BK200" s="298"/>
      <c r="BL200" s="298"/>
      <c r="BM200" s="298"/>
      <c r="BN200" s="298"/>
      <c r="BO200" s="298"/>
      <c r="BP200" s="298"/>
      <c r="BQ200" s="298"/>
      <c r="BR200" s="298"/>
      <c r="BS200" s="298"/>
      <c r="BT200" s="298"/>
      <c r="BU200" s="298"/>
      <c r="BV200" s="298"/>
      <c r="BW200" s="298"/>
      <c r="BX200" s="299"/>
      <c r="BY200" s="299"/>
      <c r="BZ200" s="299"/>
      <c r="CA200" s="299"/>
      <c r="CB200" s="299"/>
      <c r="CC200" s="299"/>
      <c r="CD200" s="299"/>
      <c r="CE200" s="299"/>
      <c r="CF200" s="299"/>
      <c r="CG200" s="299"/>
      <c r="CH200" s="299"/>
      <c r="CI200" s="299"/>
      <c r="CJ200" s="299"/>
      <c r="CK200" s="299"/>
      <c r="CL200" s="299"/>
      <c r="CM200" s="299"/>
      <c r="CN200" s="299"/>
      <c r="CO200" s="299"/>
      <c r="CP200" s="299"/>
      <c r="CQ200" s="299"/>
      <c r="CR200" s="299"/>
      <c r="CS200" s="299"/>
      <c r="CT200" s="299"/>
      <c r="CU200" s="299"/>
      <c r="CV200" s="299"/>
      <c r="CW200" s="299"/>
      <c r="CX200" s="299"/>
      <c r="CY200" s="299"/>
      <c r="CZ200" s="299"/>
      <c r="DA200" s="299"/>
      <c r="DB200" s="299"/>
      <c r="DC200" s="299"/>
      <c r="DD200" s="299"/>
      <c r="DE200" s="299"/>
      <c r="DF200" s="299"/>
      <c r="DG200" s="299"/>
      <c r="DH200" s="299"/>
      <c r="DI200" s="299"/>
      <c r="DJ200" s="299"/>
      <c r="DK200" s="299"/>
      <c r="DL200" s="299"/>
      <c r="DM200" s="299"/>
      <c r="DN200" s="299"/>
      <c r="DO200" s="299"/>
      <c r="DP200" s="299"/>
      <c r="DQ200" s="299"/>
      <c r="DR200" s="299"/>
      <c r="DS200" s="298"/>
      <c r="DT200" s="298"/>
      <c r="DU200" s="298"/>
      <c r="DV200" s="298"/>
      <c r="DW200" s="298"/>
      <c r="DX200" s="298"/>
      <c r="DY200" s="298"/>
      <c r="DZ200" s="298"/>
      <c r="EA200" s="298"/>
      <c r="EB200" s="298"/>
      <c r="EC200" s="298"/>
      <c r="ED200" s="298"/>
      <c r="EE200" s="298"/>
      <c r="EF200" s="298"/>
      <c r="EG200" s="298"/>
    </row>
    <row r="201" spans="49:137" ht="11.75" customHeight="1" x14ac:dyDescent="0.15">
      <c r="AW201" s="298"/>
      <c r="AX201" s="298"/>
      <c r="AY201" s="298"/>
      <c r="AZ201" s="298"/>
      <c r="BA201" s="298"/>
      <c r="BB201" s="298"/>
      <c r="BC201" s="298"/>
      <c r="BD201" s="298"/>
      <c r="BE201" s="298"/>
      <c r="BF201" s="298"/>
      <c r="BG201" s="298"/>
      <c r="BH201" s="298"/>
      <c r="BI201" s="298"/>
      <c r="BJ201" s="298"/>
      <c r="BK201" s="298"/>
      <c r="BL201" s="298"/>
      <c r="BM201" s="298"/>
      <c r="BN201" s="298"/>
      <c r="BO201" s="298"/>
      <c r="BP201" s="298"/>
      <c r="BQ201" s="298"/>
      <c r="BR201" s="298"/>
      <c r="BS201" s="298"/>
      <c r="BT201" s="298"/>
      <c r="BU201" s="298"/>
      <c r="BV201" s="298"/>
      <c r="BW201" s="298"/>
      <c r="BX201" s="299"/>
      <c r="BY201" s="299"/>
      <c r="BZ201" s="299"/>
      <c r="CA201" s="299"/>
      <c r="CB201" s="299"/>
      <c r="CC201" s="299"/>
      <c r="CD201" s="299"/>
      <c r="CE201" s="299"/>
      <c r="CF201" s="299"/>
      <c r="CG201" s="299"/>
      <c r="CH201" s="299"/>
      <c r="CI201" s="299"/>
      <c r="CJ201" s="299"/>
      <c r="CK201" s="299"/>
      <c r="CL201" s="299"/>
      <c r="CM201" s="299"/>
      <c r="CN201" s="299"/>
      <c r="CO201" s="299"/>
      <c r="CP201" s="299"/>
      <c r="CQ201" s="299"/>
      <c r="CR201" s="299"/>
      <c r="CS201" s="299"/>
      <c r="CT201" s="299"/>
      <c r="CU201" s="299"/>
      <c r="CV201" s="299"/>
      <c r="CW201" s="299"/>
      <c r="CX201" s="299"/>
      <c r="CY201" s="299"/>
      <c r="CZ201" s="299"/>
      <c r="DA201" s="299"/>
      <c r="DB201" s="299"/>
      <c r="DC201" s="299"/>
      <c r="DD201" s="299"/>
      <c r="DE201" s="299"/>
      <c r="DF201" s="299"/>
      <c r="DG201" s="299"/>
      <c r="DH201" s="299"/>
      <c r="DI201" s="299"/>
      <c r="DJ201" s="299"/>
      <c r="DK201" s="299"/>
      <c r="DL201" s="299"/>
      <c r="DM201" s="299"/>
      <c r="DN201" s="299"/>
      <c r="DO201" s="299"/>
      <c r="DP201" s="299"/>
      <c r="DQ201" s="299"/>
      <c r="DR201" s="299"/>
      <c r="DS201" s="298"/>
      <c r="DT201" s="298"/>
      <c r="DU201" s="298"/>
      <c r="DV201" s="298"/>
      <c r="DW201" s="298"/>
      <c r="DX201" s="298"/>
      <c r="DY201" s="298"/>
      <c r="DZ201" s="298"/>
      <c r="EA201" s="298"/>
      <c r="EB201" s="298"/>
      <c r="EC201" s="298"/>
      <c r="ED201" s="298"/>
      <c r="EE201" s="298"/>
      <c r="EF201" s="298"/>
      <c r="EG201" s="298"/>
    </row>
    <row r="202" spans="49:137" ht="11.75" customHeight="1" x14ac:dyDescent="0.15">
      <c r="AW202" s="298"/>
      <c r="AX202" s="298"/>
      <c r="AY202" s="298"/>
      <c r="AZ202" s="298"/>
      <c r="BA202" s="298"/>
      <c r="BB202" s="298"/>
      <c r="BC202" s="298"/>
      <c r="BD202" s="298"/>
      <c r="BE202" s="298"/>
      <c r="BF202" s="298"/>
      <c r="BG202" s="298"/>
      <c r="BH202" s="298"/>
      <c r="BI202" s="298"/>
      <c r="BJ202" s="298"/>
      <c r="BK202" s="298"/>
      <c r="BL202" s="298"/>
      <c r="BM202" s="298"/>
      <c r="BN202" s="298"/>
      <c r="BO202" s="298"/>
      <c r="BP202" s="298"/>
      <c r="BQ202" s="298"/>
      <c r="BR202" s="298"/>
      <c r="BS202" s="298"/>
      <c r="BT202" s="298"/>
      <c r="BU202" s="298"/>
      <c r="BV202" s="298"/>
      <c r="BW202" s="298"/>
      <c r="BX202" s="299"/>
      <c r="BY202" s="299"/>
      <c r="BZ202" s="299"/>
      <c r="CA202" s="299"/>
      <c r="CB202" s="299"/>
      <c r="CC202" s="299"/>
      <c r="CD202" s="299"/>
      <c r="CE202" s="299"/>
      <c r="CF202" s="299"/>
      <c r="CG202" s="299"/>
      <c r="CH202" s="299"/>
      <c r="CI202" s="299"/>
      <c r="CJ202" s="299"/>
      <c r="CK202" s="299"/>
      <c r="CL202" s="299"/>
      <c r="CM202" s="299"/>
      <c r="CN202" s="299"/>
      <c r="CO202" s="299"/>
      <c r="CP202" s="299"/>
      <c r="CQ202" s="299"/>
      <c r="CR202" s="299"/>
      <c r="CS202" s="299"/>
      <c r="CT202" s="299"/>
      <c r="CU202" s="299"/>
      <c r="CV202" s="299"/>
      <c r="CW202" s="299"/>
      <c r="CX202" s="299"/>
      <c r="CY202" s="299"/>
      <c r="CZ202" s="299"/>
      <c r="DA202" s="299"/>
      <c r="DB202" s="299"/>
      <c r="DC202" s="299"/>
      <c r="DD202" s="299"/>
      <c r="DE202" s="299"/>
      <c r="DF202" s="299"/>
      <c r="DG202" s="299"/>
      <c r="DH202" s="299"/>
      <c r="DI202" s="299"/>
      <c r="DJ202" s="299"/>
      <c r="DK202" s="299"/>
      <c r="DL202" s="299"/>
      <c r="DM202" s="299"/>
      <c r="DN202" s="299"/>
      <c r="DO202" s="299"/>
      <c r="DP202" s="299"/>
      <c r="DQ202" s="299"/>
      <c r="DR202" s="299"/>
      <c r="DS202" s="298"/>
      <c r="DT202" s="298"/>
      <c r="DU202" s="298"/>
      <c r="DV202" s="298"/>
      <c r="DW202" s="298"/>
      <c r="DX202" s="298"/>
      <c r="DY202" s="298"/>
      <c r="DZ202" s="298"/>
      <c r="EA202" s="298"/>
      <c r="EB202" s="298"/>
      <c r="EC202" s="298"/>
      <c r="ED202" s="298"/>
      <c r="EE202" s="298"/>
      <c r="EF202" s="298"/>
      <c r="EG202" s="298"/>
    </row>
    <row r="203" spans="49:137" ht="11.75" customHeight="1" x14ac:dyDescent="0.15">
      <c r="AW203" s="298"/>
      <c r="AX203" s="298"/>
      <c r="AY203" s="298"/>
      <c r="AZ203" s="298"/>
      <c r="BA203" s="298"/>
      <c r="BB203" s="298"/>
      <c r="BC203" s="298"/>
      <c r="BD203" s="298"/>
      <c r="BE203" s="298"/>
      <c r="BF203" s="298"/>
      <c r="BG203" s="298"/>
      <c r="BH203" s="298"/>
      <c r="BI203" s="298"/>
      <c r="BJ203" s="298"/>
      <c r="BK203" s="298"/>
      <c r="BL203" s="298"/>
      <c r="BM203" s="298"/>
      <c r="BN203" s="298"/>
      <c r="BO203" s="298"/>
      <c r="BP203" s="298"/>
      <c r="BQ203" s="298"/>
      <c r="BR203" s="298"/>
      <c r="BS203" s="298"/>
      <c r="BT203" s="298"/>
      <c r="BU203" s="298"/>
      <c r="BV203" s="298"/>
      <c r="BW203" s="298"/>
      <c r="BX203" s="299"/>
      <c r="BY203" s="299"/>
      <c r="BZ203" s="299"/>
      <c r="CA203" s="299"/>
      <c r="CB203" s="299"/>
      <c r="CC203" s="299"/>
      <c r="CD203" s="299"/>
      <c r="CE203" s="299"/>
      <c r="CF203" s="299"/>
      <c r="CG203" s="299"/>
      <c r="CH203" s="299"/>
      <c r="CI203" s="299"/>
      <c r="CJ203" s="299"/>
      <c r="CK203" s="299"/>
      <c r="CL203" s="299"/>
      <c r="CM203" s="299"/>
      <c r="CN203" s="299"/>
      <c r="CO203" s="299"/>
      <c r="CP203" s="299"/>
      <c r="CQ203" s="299"/>
      <c r="CR203" s="299"/>
      <c r="CS203" s="299"/>
      <c r="CT203" s="299"/>
      <c r="CU203" s="299"/>
      <c r="CV203" s="299"/>
      <c r="CW203" s="299"/>
      <c r="CX203" s="299"/>
      <c r="CY203" s="299"/>
      <c r="CZ203" s="299"/>
      <c r="DA203" s="299"/>
      <c r="DB203" s="299"/>
      <c r="DC203" s="299"/>
      <c r="DD203" s="299"/>
      <c r="DE203" s="299"/>
      <c r="DF203" s="299"/>
      <c r="DG203" s="299"/>
      <c r="DH203" s="299"/>
      <c r="DI203" s="299"/>
      <c r="DJ203" s="299"/>
      <c r="DK203" s="299"/>
      <c r="DL203" s="299"/>
      <c r="DM203" s="299"/>
      <c r="DN203" s="299"/>
      <c r="DO203" s="299"/>
      <c r="DP203" s="299"/>
      <c r="DQ203" s="299"/>
      <c r="DR203" s="299"/>
      <c r="DS203" s="298"/>
      <c r="DT203" s="298"/>
      <c r="DU203" s="298"/>
      <c r="DV203" s="298"/>
      <c r="DW203" s="298"/>
      <c r="DX203" s="298"/>
      <c r="DY203" s="298"/>
      <c r="DZ203" s="298"/>
      <c r="EA203" s="298"/>
      <c r="EB203" s="298"/>
      <c r="EC203" s="298"/>
      <c r="ED203" s="298"/>
      <c r="EE203" s="298"/>
      <c r="EF203" s="298"/>
      <c r="EG203" s="298"/>
    </row>
    <row r="204" spans="49:137" ht="11.75" customHeight="1" x14ac:dyDescent="0.15">
      <c r="AW204" s="298"/>
      <c r="AX204" s="298"/>
      <c r="AY204" s="298"/>
      <c r="AZ204" s="298"/>
      <c r="BA204" s="298"/>
      <c r="BB204" s="298"/>
      <c r="BC204" s="298"/>
      <c r="BD204" s="298"/>
      <c r="BE204" s="298"/>
      <c r="BF204" s="298"/>
      <c r="BG204" s="298"/>
      <c r="BH204" s="298"/>
      <c r="BI204" s="298"/>
      <c r="BJ204" s="298"/>
      <c r="BK204" s="298"/>
      <c r="BL204" s="298"/>
      <c r="BM204" s="298"/>
      <c r="BN204" s="298"/>
      <c r="BO204" s="298"/>
      <c r="BP204" s="298"/>
      <c r="BQ204" s="298"/>
      <c r="BR204" s="298"/>
      <c r="BS204" s="298"/>
      <c r="BT204" s="298"/>
      <c r="BU204" s="298"/>
      <c r="BV204" s="298"/>
      <c r="BW204" s="298"/>
      <c r="BX204" s="299"/>
      <c r="BY204" s="299"/>
      <c r="BZ204" s="299"/>
      <c r="CA204" s="299"/>
      <c r="CB204" s="299"/>
      <c r="CC204" s="299"/>
      <c r="CD204" s="299"/>
      <c r="CE204" s="299"/>
      <c r="CF204" s="299"/>
      <c r="CG204" s="299"/>
      <c r="CH204" s="299"/>
      <c r="CI204" s="299"/>
      <c r="CJ204" s="299"/>
      <c r="CK204" s="299"/>
      <c r="CL204" s="299"/>
      <c r="CM204" s="299"/>
      <c r="CN204" s="299"/>
      <c r="CO204" s="299"/>
      <c r="CP204" s="299"/>
      <c r="CQ204" s="299"/>
      <c r="CR204" s="299"/>
      <c r="CS204" s="299"/>
      <c r="CT204" s="299"/>
      <c r="CU204" s="299"/>
      <c r="CV204" s="299"/>
      <c r="CW204" s="299"/>
      <c r="CX204" s="299"/>
      <c r="CY204" s="299"/>
      <c r="CZ204" s="299"/>
      <c r="DA204" s="299"/>
      <c r="DB204" s="299"/>
      <c r="DC204" s="299"/>
      <c r="DD204" s="299"/>
      <c r="DE204" s="299"/>
      <c r="DF204" s="299"/>
      <c r="DG204" s="299"/>
      <c r="DH204" s="299"/>
      <c r="DI204" s="299"/>
      <c r="DJ204" s="299"/>
      <c r="DK204" s="299"/>
      <c r="DL204" s="299"/>
      <c r="DM204" s="299"/>
      <c r="DN204" s="299"/>
      <c r="DO204" s="299"/>
      <c r="DP204" s="299"/>
      <c r="DQ204" s="299"/>
      <c r="DR204" s="299"/>
      <c r="DS204" s="298"/>
      <c r="DT204" s="298"/>
      <c r="DU204" s="298"/>
      <c r="DV204" s="298"/>
      <c r="DW204" s="298"/>
      <c r="DX204" s="298"/>
      <c r="DY204" s="298"/>
      <c r="DZ204" s="298"/>
      <c r="EA204" s="298"/>
      <c r="EB204" s="298"/>
      <c r="EC204" s="298"/>
      <c r="ED204" s="298"/>
      <c r="EE204" s="298"/>
      <c r="EF204" s="298"/>
      <c r="EG204" s="298"/>
    </row>
    <row r="205" spans="49:137" ht="11.75" customHeight="1" x14ac:dyDescent="0.15">
      <c r="AW205" s="298"/>
      <c r="AX205" s="298"/>
      <c r="AY205" s="298"/>
      <c r="AZ205" s="298"/>
      <c r="BA205" s="298"/>
      <c r="BB205" s="298"/>
      <c r="BC205" s="298"/>
      <c r="BD205" s="298"/>
      <c r="BE205" s="298"/>
      <c r="BF205" s="298"/>
      <c r="BG205" s="298"/>
      <c r="BH205" s="298"/>
      <c r="BI205" s="298"/>
      <c r="BJ205" s="298"/>
      <c r="BK205" s="298"/>
      <c r="BL205" s="298"/>
      <c r="BM205" s="298"/>
      <c r="BN205" s="298"/>
      <c r="BO205" s="298"/>
      <c r="BP205" s="298"/>
      <c r="BQ205" s="298"/>
      <c r="BR205" s="298"/>
      <c r="BS205" s="298"/>
      <c r="BT205" s="298"/>
      <c r="BU205" s="298"/>
      <c r="BV205" s="298"/>
      <c r="BW205" s="298"/>
      <c r="BX205" s="299"/>
      <c r="BY205" s="299"/>
      <c r="BZ205" s="299"/>
      <c r="CA205" s="299"/>
      <c r="CB205" s="299"/>
      <c r="CC205" s="299"/>
      <c r="CD205" s="299"/>
      <c r="CE205" s="299"/>
      <c r="CF205" s="299"/>
      <c r="CG205" s="299"/>
      <c r="CH205" s="299"/>
      <c r="CI205" s="299"/>
      <c r="CJ205" s="299"/>
      <c r="CK205" s="299"/>
      <c r="CL205" s="299"/>
      <c r="CM205" s="299"/>
      <c r="CN205" s="299"/>
      <c r="CO205" s="299"/>
      <c r="CP205" s="299"/>
      <c r="CQ205" s="299"/>
      <c r="CR205" s="299"/>
      <c r="CS205" s="299"/>
      <c r="CT205" s="299"/>
      <c r="CU205" s="299"/>
      <c r="CV205" s="299"/>
      <c r="CW205" s="299"/>
      <c r="CX205" s="299"/>
      <c r="CY205" s="299"/>
      <c r="CZ205" s="299"/>
      <c r="DA205" s="299"/>
      <c r="DB205" s="299"/>
      <c r="DC205" s="299"/>
      <c r="DD205" s="299"/>
      <c r="DE205" s="299"/>
      <c r="DF205" s="299"/>
      <c r="DG205" s="299"/>
      <c r="DH205" s="299"/>
      <c r="DI205" s="299"/>
      <c r="DJ205" s="299"/>
      <c r="DK205" s="299"/>
      <c r="DL205" s="299"/>
      <c r="DM205" s="299"/>
      <c r="DN205" s="299"/>
      <c r="DO205" s="299"/>
      <c r="DP205" s="299"/>
      <c r="DQ205" s="299"/>
      <c r="DR205" s="299"/>
      <c r="DS205" s="298"/>
      <c r="DT205" s="298"/>
      <c r="DU205" s="298"/>
      <c r="DV205" s="298"/>
      <c r="DW205" s="298"/>
      <c r="DX205" s="298"/>
      <c r="DY205" s="298"/>
      <c r="DZ205" s="298"/>
      <c r="EA205" s="298"/>
      <c r="EB205" s="298"/>
      <c r="EC205" s="298"/>
      <c r="ED205" s="298"/>
      <c r="EE205" s="298"/>
      <c r="EF205" s="298"/>
      <c r="EG205" s="298"/>
    </row>
    <row r="206" spans="49:137" ht="11.75" customHeight="1" x14ac:dyDescent="0.15">
      <c r="AW206" s="298"/>
      <c r="AX206" s="298"/>
      <c r="AY206" s="298"/>
      <c r="AZ206" s="298"/>
      <c r="BA206" s="298"/>
      <c r="BB206" s="298"/>
      <c r="BC206" s="298"/>
      <c r="BD206" s="298"/>
      <c r="BE206" s="298"/>
      <c r="BF206" s="298"/>
      <c r="BG206" s="298"/>
      <c r="BH206" s="298"/>
      <c r="BI206" s="298"/>
      <c r="BJ206" s="298"/>
      <c r="BK206" s="298"/>
      <c r="BL206" s="298"/>
      <c r="BM206" s="298"/>
      <c r="BN206" s="298"/>
      <c r="BO206" s="298"/>
      <c r="BP206" s="298"/>
      <c r="BQ206" s="298"/>
      <c r="BR206" s="298"/>
      <c r="BS206" s="298"/>
      <c r="BT206" s="298"/>
      <c r="BU206" s="298"/>
      <c r="BV206" s="298"/>
      <c r="BW206" s="298"/>
      <c r="BX206" s="299"/>
      <c r="BY206" s="299"/>
      <c r="BZ206" s="299"/>
      <c r="CA206" s="299"/>
      <c r="CB206" s="299"/>
      <c r="CC206" s="299"/>
      <c r="CD206" s="299"/>
      <c r="CE206" s="299"/>
      <c r="CF206" s="299"/>
      <c r="CG206" s="299"/>
      <c r="CH206" s="299"/>
      <c r="CI206" s="299"/>
      <c r="CJ206" s="299"/>
      <c r="CK206" s="299"/>
      <c r="CL206" s="299"/>
      <c r="CM206" s="299"/>
      <c r="CN206" s="299"/>
      <c r="CO206" s="299"/>
      <c r="CP206" s="299"/>
      <c r="CQ206" s="299"/>
      <c r="CR206" s="299"/>
      <c r="CS206" s="299"/>
      <c r="CT206" s="299"/>
      <c r="CU206" s="299"/>
      <c r="CV206" s="299"/>
      <c r="CW206" s="299"/>
      <c r="CX206" s="299"/>
      <c r="CY206" s="299"/>
      <c r="CZ206" s="299"/>
      <c r="DA206" s="299"/>
      <c r="DB206" s="299"/>
      <c r="DC206" s="299"/>
      <c r="DD206" s="299"/>
      <c r="DE206" s="299"/>
      <c r="DF206" s="299"/>
      <c r="DG206" s="299"/>
      <c r="DH206" s="299"/>
      <c r="DI206" s="299"/>
      <c r="DJ206" s="299"/>
      <c r="DK206" s="299"/>
      <c r="DL206" s="299"/>
      <c r="DM206" s="299"/>
      <c r="DN206" s="299"/>
      <c r="DO206" s="299"/>
      <c r="DP206" s="299"/>
      <c r="DQ206" s="299"/>
      <c r="DR206" s="299"/>
      <c r="DS206" s="298"/>
      <c r="DT206" s="298"/>
      <c r="DU206" s="298"/>
      <c r="DV206" s="298"/>
      <c r="DW206" s="298"/>
      <c r="DX206" s="298"/>
      <c r="DY206" s="298"/>
      <c r="DZ206" s="298"/>
      <c r="EA206" s="298"/>
      <c r="EB206" s="298"/>
      <c r="EC206" s="298"/>
      <c r="ED206" s="298"/>
      <c r="EE206" s="298"/>
      <c r="EF206" s="298"/>
      <c r="EG206" s="298"/>
    </row>
    <row r="207" spans="49:137" ht="11.75" customHeight="1" x14ac:dyDescent="0.15">
      <c r="AW207" s="298"/>
      <c r="AX207" s="298"/>
      <c r="AY207" s="298"/>
      <c r="AZ207" s="298"/>
      <c r="BA207" s="298"/>
      <c r="BB207" s="298"/>
      <c r="BC207" s="298"/>
      <c r="BD207" s="298"/>
      <c r="BE207" s="298"/>
      <c r="BF207" s="298"/>
      <c r="BG207" s="298"/>
      <c r="BH207" s="298"/>
      <c r="BI207" s="298"/>
      <c r="BJ207" s="298"/>
      <c r="BK207" s="298"/>
      <c r="BL207" s="298"/>
      <c r="BM207" s="298"/>
      <c r="BN207" s="298"/>
      <c r="BO207" s="298"/>
      <c r="BP207" s="298"/>
      <c r="BQ207" s="298"/>
      <c r="BR207" s="298"/>
      <c r="BS207" s="298"/>
      <c r="BT207" s="298"/>
      <c r="BU207" s="298"/>
      <c r="BV207" s="298"/>
      <c r="BW207" s="298"/>
      <c r="BX207" s="299"/>
      <c r="BY207" s="299"/>
      <c r="BZ207" s="299"/>
      <c r="CA207" s="299"/>
      <c r="CB207" s="299"/>
      <c r="CC207" s="299"/>
      <c r="CD207" s="299"/>
      <c r="CE207" s="299"/>
      <c r="CF207" s="299"/>
      <c r="CG207" s="299"/>
      <c r="CH207" s="299"/>
      <c r="CI207" s="299"/>
      <c r="CJ207" s="299"/>
      <c r="CK207" s="299"/>
      <c r="CL207" s="299"/>
      <c r="CM207" s="299"/>
      <c r="CN207" s="299"/>
      <c r="CO207" s="299"/>
      <c r="CP207" s="299"/>
      <c r="CQ207" s="299"/>
      <c r="CR207" s="299"/>
      <c r="CS207" s="299"/>
      <c r="CT207" s="299"/>
      <c r="CU207" s="299"/>
      <c r="CV207" s="299"/>
      <c r="CW207" s="299"/>
      <c r="CX207" s="299"/>
      <c r="CY207" s="299"/>
      <c r="CZ207" s="299"/>
      <c r="DA207" s="299"/>
      <c r="DB207" s="299"/>
      <c r="DC207" s="299"/>
      <c r="DD207" s="299"/>
      <c r="DE207" s="299"/>
      <c r="DF207" s="299"/>
      <c r="DG207" s="299"/>
      <c r="DH207" s="299"/>
      <c r="DI207" s="299"/>
      <c r="DJ207" s="299"/>
      <c r="DK207" s="299"/>
      <c r="DL207" s="299"/>
      <c r="DM207" s="299"/>
      <c r="DN207" s="299"/>
      <c r="DO207" s="299"/>
      <c r="DP207" s="299"/>
      <c r="DQ207" s="299"/>
      <c r="DR207" s="299"/>
      <c r="DS207" s="298"/>
      <c r="DT207" s="298"/>
      <c r="DU207" s="298"/>
      <c r="DV207" s="298"/>
      <c r="DW207" s="298"/>
      <c r="DX207" s="298"/>
      <c r="DY207" s="298"/>
      <c r="DZ207" s="298"/>
      <c r="EA207" s="298"/>
      <c r="EB207" s="298"/>
      <c r="EC207" s="298"/>
      <c r="ED207" s="298"/>
      <c r="EE207" s="298"/>
      <c r="EF207" s="298"/>
      <c r="EG207" s="298"/>
    </row>
    <row r="208" spans="49:137" ht="11.75" customHeight="1" x14ac:dyDescent="0.15">
      <c r="AW208" s="298"/>
      <c r="AX208" s="298"/>
      <c r="AY208" s="298"/>
      <c r="AZ208" s="298"/>
      <c r="BA208" s="298"/>
      <c r="BB208" s="298"/>
      <c r="BC208" s="298"/>
      <c r="BD208" s="298"/>
      <c r="BE208" s="298"/>
      <c r="BF208" s="298"/>
      <c r="BG208" s="298"/>
      <c r="BH208" s="298"/>
      <c r="BI208" s="298"/>
      <c r="BJ208" s="298"/>
      <c r="BK208" s="298"/>
      <c r="BL208" s="298"/>
      <c r="BM208" s="298"/>
      <c r="BN208" s="298"/>
      <c r="BO208" s="298"/>
      <c r="BP208" s="298"/>
      <c r="BQ208" s="298"/>
      <c r="BR208" s="298"/>
      <c r="BS208" s="298"/>
      <c r="BT208" s="298"/>
      <c r="BU208" s="298"/>
      <c r="BV208" s="298"/>
      <c r="BW208" s="298"/>
      <c r="BX208" s="299"/>
      <c r="BY208" s="299"/>
      <c r="BZ208" s="299"/>
      <c r="CA208" s="299"/>
      <c r="CB208" s="299"/>
      <c r="CC208" s="299"/>
      <c r="CD208" s="299"/>
      <c r="CE208" s="299"/>
      <c r="CF208" s="299"/>
      <c r="CG208" s="299"/>
      <c r="CH208" s="299"/>
      <c r="CI208" s="299"/>
      <c r="CJ208" s="299"/>
      <c r="CK208" s="299"/>
      <c r="CL208" s="299"/>
      <c r="CM208" s="299"/>
      <c r="CN208" s="299"/>
      <c r="CO208" s="299"/>
      <c r="CP208" s="299"/>
      <c r="CQ208" s="299"/>
      <c r="CR208" s="299"/>
      <c r="CS208" s="299"/>
      <c r="CT208" s="299"/>
      <c r="CU208" s="299"/>
      <c r="CV208" s="299"/>
      <c r="CW208" s="299"/>
      <c r="CX208" s="299"/>
      <c r="CY208" s="299"/>
      <c r="CZ208" s="299"/>
      <c r="DA208" s="299"/>
      <c r="DB208" s="299"/>
      <c r="DC208" s="299"/>
      <c r="DD208" s="299"/>
      <c r="DE208" s="299"/>
      <c r="DF208" s="299"/>
      <c r="DG208" s="299"/>
      <c r="DH208" s="299"/>
      <c r="DI208" s="299"/>
      <c r="DJ208" s="299"/>
      <c r="DK208" s="299"/>
      <c r="DL208" s="299"/>
      <c r="DM208" s="299"/>
      <c r="DN208" s="299"/>
      <c r="DO208" s="299"/>
      <c r="DP208" s="299"/>
      <c r="DQ208" s="299"/>
      <c r="DR208" s="299"/>
      <c r="DS208" s="298"/>
      <c r="DT208" s="298"/>
      <c r="DU208" s="298"/>
      <c r="DV208" s="298"/>
      <c r="DW208" s="298"/>
      <c r="DX208" s="298"/>
      <c r="DY208" s="298"/>
      <c r="DZ208" s="298"/>
      <c r="EA208" s="298"/>
      <c r="EB208" s="298"/>
      <c r="EC208" s="298"/>
      <c r="ED208" s="298"/>
      <c r="EE208" s="298"/>
      <c r="EF208" s="298"/>
      <c r="EG208" s="298"/>
    </row>
    <row r="209" spans="49:137" ht="11.75" customHeight="1" x14ac:dyDescent="0.15">
      <c r="AW209" s="298"/>
      <c r="AX209" s="298"/>
      <c r="AY209" s="298"/>
      <c r="AZ209" s="298"/>
      <c r="BA209" s="298"/>
      <c r="BB209" s="298"/>
      <c r="BC209" s="298"/>
      <c r="BD209" s="298"/>
      <c r="BE209" s="298"/>
      <c r="BF209" s="298"/>
      <c r="BG209" s="298"/>
      <c r="BH209" s="298"/>
      <c r="BI209" s="298"/>
      <c r="BJ209" s="298"/>
      <c r="BK209" s="298"/>
      <c r="BL209" s="298"/>
      <c r="BM209" s="298"/>
      <c r="BN209" s="298"/>
      <c r="BO209" s="298"/>
      <c r="BP209" s="298"/>
      <c r="BQ209" s="298"/>
      <c r="BR209" s="298"/>
      <c r="BS209" s="298"/>
      <c r="BT209" s="298"/>
      <c r="BU209" s="298"/>
      <c r="BV209" s="298"/>
      <c r="BW209" s="298"/>
      <c r="BX209" s="299"/>
      <c r="BY209" s="299"/>
      <c r="BZ209" s="299"/>
      <c r="CA209" s="299"/>
      <c r="CB209" s="299"/>
      <c r="CC209" s="299"/>
      <c r="CD209" s="299"/>
      <c r="CE209" s="299"/>
      <c r="CF209" s="299"/>
      <c r="CG209" s="299"/>
      <c r="CH209" s="299"/>
      <c r="CI209" s="299"/>
      <c r="CJ209" s="299"/>
      <c r="CK209" s="299"/>
      <c r="CL209" s="299"/>
      <c r="CM209" s="299"/>
      <c r="CN209" s="299"/>
      <c r="CO209" s="299"/>
      <c r="CP209" s="299"/>
      <c r="CQ209" s="299"/>
      <c r="CR209" s="299"/>
      <c r="CS209" s="299"/>
      <c r="CT209" s="299"/>
      <c r="CU209" s="299"/>
      <c r="CV209" s="299"/>
      <c r="CW209" s="299"/>
      <c r="CX209" s="299"/>
      <c r="CY209" s="299"/>
      <c r="CZ209" s="299"/>
      <c r="DA209" s="299"/>
      <c r="DB209" s="299"/>
      <c r="DC209" s="299"/>
      <c r="DD209" s="299"/>
      <c r="DE209" s="299"/>
      <c r="DF209" s="299"/>
      <c r="DG209" s="299"/>
      <c r="DH209" s="299"/>
      <c r="DI209" s="299"/>
      <c r="DJ209" s="299"/>
      <c r="DK209" s="299"/>
      <c r="DL209" s="299"/>
      <c r="DM209" s="299"/>
      <c r="DN209" s="299"/>
      <c r="DO209" s="299"/>
      <c r="DP209" s="299"/>
      <c r="DQ209" s="299"/>
      <c r="DR209" s="299"/>
      <c r="DS209" s="298"/>
      <c r="DT209" s="298"/>
      <c r="DU209" s="298"/>
      <c r="DV209" s="298"/>
      <c r="DW209" s="298"/>
      <c r="DX209" s="298"/>
      <c r="DY209" s="298"/>
      <c r="DZ209" s="298"/>
      <c r="EA209" s="298"/>
      <c r="EB209" s="298"/>
      <c r="EC209" s="298"/>
      <c r="ED209" s="298"/>
      <c r="EE209" s="298"/>
      <c r="EF209" s="298"/>
      <c r="EG209" s="298"/>
    </row>
    <row r="210" spans="49:137" ht="11.75" customHeight="1" x14ac:dyDescent="0.15">
      <c r="AW210" s="298"/>
      <c r="AX210" s="298"/>
      <c r="AY210" s="298"/>
      <c r="AZ210" s="298"/>
      <c r="BA210" s="298"/>
      <c r="BB210" s="298"/>
      <c r="BC210" s="298"/>
      <c r="BD210" s="298"/>
      <c r="BE210" s="298"/>
      <c r="BF210" s="298"/>
      <c r="BG210" s="298"/>
      <c r="BH210" s="298"/>
      <c r="BI210" s="298"/>
      <c r="BJ210" s="298"/>
      <c r="BK210" s="298"/>
      <c r="BL210" s="298"/>
      <c r="BM210" s="298"/>
      <c r="BN210" s="298"/>
      <c r="BO210" s="298"/>
      <c r="BP210" s="298"/>
      <c r="BQ210" s="298"/>
      <c r="BR210" s="298"/>
      <c r="BS210" s="298"/>
      <c r="BT210" s="298"/>
      <c r="BU210" s="298"/>
      <c r="BV210" s="298"/>
      <c r="BW210" s="298"/>
      <c r="BX210" s="299"/>
      <c r="BY210" s="299"/>
      <c r="BZ210" s="299"/>
      <c r="CA210" s="299"/>
      <c r="CB210" s="299"/>
      <c r="CC210" s="299"/>
      <c r="CD210" s="299"/>
      <c r="CE210" s="299"/>
      <c r="CF210" s="299"/>
      <c r="CG210" s="299"/>
      <c r="CH210" s="299"/>
      <c r="CI210" s="299"/>
      <c r="CJ210" s="299"/>
      <c r="CK210" s="299"/>
      <c r="CL210" s="299"/>
      <c r="CM210" s="299"/>
      <c r="CN210" s="299"/>
      <c r="CO210" s="299"/>
      <c r="CP210" s="299"/>
      <c r="CQ210" s="299"/>
      <c r="CR210" s="299"/>
      <c r="CS210" s="299"/>
      <c r="CT210" s="299"/>
      <c r="CU210" s="299"/>
      <c r="CV210" s="299"/>
      <c r="CW210" s="299"/>
      <c r="CX210" s="299"/>
      <c r="CY210" s="299"/>
      <c r="CZ210" s="299"/>
      <c r="DA210" s="299"/>
      <c r="DB210" s="299"/>
      <c r="DC210" s="299"/>
      <c r="DD210" s="299"/>
      <c r="DE210" s="299"/>
      <c r="DF210" s="299"/>
      <c r="DG210" s="299"/>
      <c r="DH210" s="299"/>
      <c r="DI210" s="299"/>
      <c r="DJ210" s="299"/>
      <c r="DK210" s="299"/>
      <c r="DL210" s="299"/>
      <c r="DM210" s="299"/>
      <c r="DN210" s="299"/>
      <c r="DO210" s="299"/>
      <c r="DP210" s="299"/>
      <c r="DQ210" s="299"/>
      <c r="DR210" s="299"/>
      <c r="DS210" s="298"/>
      <c r="DT210" s="298"/>
      <c r="DU210" s="298"/>
      <c r="DV210" s="298"/>
      <c r="DW210" s="298"/>
      <c r="DX210" s="298"/>
      <c r="DY210" s="298"/>
      <c r="DZ210" s="298"/>
      <c r="EA210" s="298"/>
      <c r="EB210" s="298"/>
      <c r="EC210" s="298"/>
      <c r="ED210" s="298"/>
      <c r="EE210" s="298"/>
      <c r="EF210" s="298"/>
      <c r="EG210" s="298"/>
    </row>
    <row r="211" spans="49:137" ht="11.75" customHeight="1" x14ac:dyDescent="0.15">
      <c r="AW211" s="298"/>
      <c r="AX211" s="298"/>
      <c r="AY211" s="298"/>
      <c r="AZ211" s="298"/>
      <c r="BA211" s="298"/>
      <c r="BB211" s="298"/>
      <c r="BC211" s="298"/>
      <c r="BD211" s="298"/>
      <c r="BE211" s="298"/>
      <c r="BF211" s="298"/>
      <c r="BG211" s="298"/>
      <c r="BH211" s="298"/>
      <c r="BI211" s="298"/>
      <c r="BJ211" s="298"/>
      <c r="BK211" s="298"/>
      <c r="BL211" s="298"/>
      <c r="BM211" s="298"/>
      <c r="BN211" s="298"/>
      <c r="BO211" s="298"/>
      <c r="BP211" s="298"/>
      <c r="BQ211" s="298"/>
      <c r="BR211" s="298"/>
      <c r="BS211" s="298"/>
      <c r="BT211" s="298"/>
      <c r="BU211" s="298"/>
      <c r="BV211" s="298"/>
      <c r="BW211" s="298"/>
      <c r="BX211" s="299"/>
      <c r="BY211" s="299"/>
      <c r="BZ211" s="299"/>
      <c r="CA211" s="299"/>
      <c r="CB211" s="299"/>
      <c r="CC211" s="299"/>
      <c r="CD211" s="299"/>
      <c r="CE211" s="299"/>
      <c r="CF211" s="299"/>
      <c r="CG211" s="299"/>
      <c r="CH211" s="299"/>
      <c r="CI211" s="299"/>
      <c r="CJ211" s="299"/>
      <c r="CK211" s="299"/>
      <c r="CL211" s="299"/>
      <c r="CM211" s="299"/>
      <c r="CN211" s="299"/>
      <c r="CO211" s="299"/>
      <c r="CP211" s="299"/>
      <c r="CQ211" s="299"/>
      <c r="CR211" s="299"/>
      <c r="CS211" s="299"/>
      <c r="CT211" s="299"/>
      <c r="CU211" s="299"/>
      <c r="CV211" s="299"/>
      <c r="CW211" s="299"/>
      <c r="CX211" s="299"/>
      <c r="CY211" s="299"/>
      <c r="CZ211" s="299"/>
      <c r="DA211" s="299"/>
      <c r="DB211" s="299"/>
      <c r="DC211" s="299"/>
      <c r="DD211" s="299"/>
      <c r="DE211" s="299"/>
      <c r="DF211" s="299"/>
      <c r="DG211" s="299"/>
      <c r="DH211" s="299"/>
      <c r="DI211" s="299"/>
      <c r="DJ211" s="299"/>
      <c r="DK211" s="299"/>
      <c r="DL211" s="299"/>
      <c r="DM211" s="299"/>
      <c r="DN211" s="299"/>
      <c r="DO211" s="299"/>
      <c r="DP211" s="299"/>
      <c r="DQ211" s="299"/>
      <c r="DR211" s="299"/>
      <c r="DS211" s="298"/>
      <c r="DT211" s="298"/>
      <c r="DU211" s="298"/>
      <c r="DV211" s="298"/>
      <c r="DW211" s="298"/>
      <c r="DX211" s="298"/>
      <c r="DY211" s="298"/>
      <c r="DZ211" s="298"/>
      <c r="EA211" s="298"/>
      <c r="EB211" s="298"/>
      <c r="EC211" s="298"/>
      <c r="ED211" s="298"/>
      <c r="EE211" s="298"/>
      <c r="EF211" s="298"/>
      <c r="EG211" s="298"/>
    </row>
    <row r="212" spans="49:137" ht="11.75" customHeight="1" x14ac:dyDescent="0.15">
      <c r="AW212" s="298"/>
      <c r="AX212" s="298"/>
      <c r="AY212" s="298"/>
      <c r="AZ212" s="298"/>
      <c r="BA212" s="298"/>
      <c r="BB212" s="298"/>
      <c r="BC212" s="298"/>
      <c r="BD212" s="298"/>
      <c r="BE212" s="298"/>
      <c r="BF212" s="298"/>
      <c r="BG212" s="298"/>
      <c r="BH212" s="298"/>
      <c r="BI212" s="298"/>
      <c r="BJ212" s="298"/>
      <c r="BK212" s="298"/>
      <c r="BL212" s="298"/>
      <c r="BM212" s="298"/>
      <c r="BN212" s="298"/>
      <c r="BO212" s="298"/>
      <c r="BP212" s="298"/>
      <c r="BQ212" s="298"/>
      <c r="BR212" s="298"/>
      <c r="BS212" s="298"/>
      <c r="BT212" s="298"/>
      <c r="BU212" s="298"/>
      <c r="BV212" s="298"/>
      <c r="BW212" s="298"/>
      <c r="BX212" s="299"/>
      <c r="BY212" s="299"/>
      <c r="BZ212" s="299"/>
      <c r="CA212" s="299"/>
      <c r="CB212" s="299"/>
      <c r="CC212" s="299"/>
      <c r="CD212" s="299"/>
      <c r="CE212" s="299"/>
      <c r="CF212" s="299"/>
      <c r="CG212" s="299"/>
      <c r="CH212" s="299"/>
      <c r="CI212" s="299"/>
      <c r="CJ212" s="299"/>
      <c r="CK212" s="299"/>
      <c r="CL212" s="299"/>
      <c r="CM212" s="299"/>
      <c r="CN212" s="299"/>
      <c r="CO212" s="299"/>
      <c r="CP212" s="299"/>
      <c r="CQ212" s="299"/>
      <c r="CR212" s="299"/>
      <c r="CS212" s="299"/>
      <c r="CT212" s="299"/>
      <c r="CU212" s="299"/>
      <c r="CV212" s="299"/>
      <c r="CW212" s="299"/>
      <c r="CX212" s="299"/>
      <c r="CY212" s="299"/>
      <c r="CZ212" s="299"/>
      <c r="DA212" s="299"/>
      <c r="DB212" s="299"/>
      <c r="DC212" s="299"/>
      <c r="DD212" s="299"/>
      <c r="DE212" s="299"/>
      <c r="DF212" s="299"/>
      <c r="DG212" s="299"/>
      <c r="DH212" s="299"/>
      <c r="DI212" s="299"/>
      <c r="DJ212" s="299"/>
      <c r="DK212" s="299"/>
      <c r="DL212" s="299"/>
      <c r="DM212" s="299"/>
      <c r="DN212" s="299"/>
      <c r="DO212" s="299"/>
      <c r="DP212" s="299"/>
      <c r="DQ212" s="299"/>
      <c r="DR212" s="299"/>
      <c r="DS212" s="298"/>
      <c r="DT212" s="298"/>
      <c r="DU212" s="298"/>
      <c r="DV212" s="298"/>
      <c r="DW212" s="298"/>
      <c r="DX212" s="298"/>
      <c r="DY212" s="298"/>
      <c r="DZ212" s="298"/>
      <c r="EA212" s="298"/>
      <c r="EB212" s="298"/>
      <c r="EC212" s="298"/>
      <c r="ED212" s="298"/>
      <c r="EE212" s="298"/>
      <c r="EF212" s="298"/>
      <c r="EG212" s="298"/>
    </row>
    <row r="213" spans="49:137" ht="11.75" customHeight="1" x14ac:dyDescent="0.15">
      <c r="AW213" s="298"/>
      <c r="AX213" s="298"/>
      <c r="AY213" s="298"/>
      <c r="AZ213" s="298"/>
      <c r="BA213" s="298"/>
      <c r="BB213" s="298"/>
      <c r="BC213" s="298"/>
      <c r="BD213" s="298"/>
      <c r="BE213" s="298"/>
      <c r="BF213" s="298"/>
      <c r="BG213" s="298"/>
      <c r="BH213" s="298"/>
      <c r="BI213" s="298"/>
      <c r="BJ213" s="298"/>
      <c r="BK213" s="298"/>
      <c r="BL213" s="298"/>
      <c r="BM213" s="298"/>
      <c r="BN213" s="298"/>
      <c r="BO213" s="298"/>
      <c r="BP213" s="298"/>
      <c r="BQ213" s="298"/>
      <c r="BR213" s="298"/>
      <c r="BS213" s="298"/>
      <c r="BT213" s="298"/>
      <c r="BU213" s="298"/>
      <c r="BV213" s="298"/>
      <c r="BW213" s="298"/>
      <c r="BX213" s="299"/>
      <c r="BY213" s="299"/>
      <c r="BZ213" s="299"/>
      <c r="CA213" s="299"/>
      <c r="CB213" s="299"/>
      <c r="CC213" s="299"/>
      <c r="CD213" s="299"/>
      <c r="CE213" s="299"/>
      <c r="CF213" s="299"/>
      <c r="CG213" s="299"/>
      <c r="CH213" s="299"/>
      <c r="CI213" s="299"/>
      <c r="CJ213" s="299"/>
      <c r="CK213" s="299"/>
      <c r="CL213" s="299"/>
      <c r="CM213" s="299"/>
      <c r="CN213" s="299"/>
      <c r="CO213" s="299"/>
      <c r="CP213" s="299"/>
      <c r="CQ213" s="299"/>
      <c r="CR213" s="299"/>
      <c r="CS213" s="299"/>
      <c r="CT213" s="299"/>
      <c r="CU213" s="299"/>
      <c r="CV213" s="299"/>
      <c r="CW213" s="299"/>
      <c r="CX213" s="299"/>
      <c r="CY213" s="299"/>
      <c r="CZ213" s="299"/>
      <c r="DA213" s="299"/>
      <c r="DB213" s="299"/>
      <c r="DC213" s="299"/>
      <c r="DD213" s="299"/>
      <c r="DE213" s="299"/>
      <c r="DF213" s="299"/>
      <c r="DG213" s="299"/>
      <c r="DH213" s="299"/>
      <c r="DI213" s="299"/>
      <c r="DJ213" s="299"/>
      <c r="DK213" s="299"/>
      <c r="DL213" s="299"/>
      <c r="DM213" s="299"/>
      <c r="DN213" s="299"/>
      <c r="DO213" s="299"/>
      <c r="DP213" s="299"/>
      <c r="DQ213" s="299"/>
      <c r="DR213" s="299"/>
      <c r="DS213" s="298"/>
      <c r="DT213" s="298"/>
      <c r="DU213" s="298"/>
      <c r="DV213" s="298"/>
      <c r="DW213" s="298"/>
      <c r="DX213" s="298"/>
      <c r="DY213" s="298"/>
      <c r="DZ213" s="298"/>
      <c r="EA213" s="298"/>
      <c r="EB213" s="298"/>
      <c r="EC213" s="298"/>
      <c r="ED213" s="298"/>
      <c r="EE213" s="298"/>
      <c r="EF213" s="298"/>
      <c r="EG213" s="298"/>
    </row>
    <row r="214" spans="49:137" ht="11.75" customHeight="1" x14ac:dyDescent="0.15">
      <c r="AW214" s="298"/>
      <c r="AX214" s="298"/>
      <c r="AY214" s="298"/>
      <c r="AZ214" s="298"/>
      <c r="BA214" s="298"/>
      <c r="BB214" s="298"/>
      <c r="BC214" s="298"/>
      <c r="BD214" s="298"/>
      <c r="BE214" s="298"/>
      <c r="BF214" s="298"/>
      <c r="BG214" s="298"/>
      <c r="BH214" s="298"/>
      <c r="BI214" s="298"/>
      <c r="BJ214" s="298"/>
      <c r="BK214" s="298"/>
      <c r="BL214" s="298"/>
      <c r="BM214" s="298"/>
      <c r="BN214" s="298"/>
      <c r="BO214" s="298"/>
      <c r="BP214" s="298"/>
      <c r="BQ214" s="298"/>
      <c r="BR214" s="298"/>
      <c r="BS214" s="298"/>
      <c r="BT214" s="298"/>
      <c r="BU214" s="298"/>
      <c r="BV214" s="298"/>
      <c r="BW214" s="298"/>
      <c r="BX214" s="299"/>
      <c r="BY214" s="299"/>
      <c r="BZ214" s="299"/>
      <c r="CA214" s="299"/>
      <c r="CB214" s="299"/>
      <c r="CC214" s="299"/>
      <c r="CD214" s="299"/>
      <c r="CE214" s="299"/>
      <c r="CF214" s="299"/>
      <c r="CG214" s="299"/>
      <c r="CH214" s="299"/>
      <c r="CI214" s="299"/>
      <c r="CJ214" s="299"/>
      <c r="CK214" s="299"/>
      <c r="CL214" s="299"/>
      <c r="CM214" s="299"/>
      <c r="CN214" s="299"/>
      <c r="CO214" s="299"/>
      <c r="CP214" s="299"/>
      <c r="CQ214" s="299"/>
      <c r="CR214" s="299"/>
      <c r="CS214" s="299"/>
      <c r="CT214" s="299"/>
      <c r="CU214" s="299"/>
      <c r="CV214" s="299"/>
      <c r="CW214" s="299"/>
      <c r="CX214" s="299"/>
      <c r="CY214" s="299"/>
      <c r="CZ214" s="299"/>
      <c r="DA214" s="299"/>
      <c r="DB214" s="299"/>
      <c r="DC214" s="299"/>
      <c r="DD214" s="299"/>
      <c r="DE214" s="299"/>
      <c r="DF214" s="299"/>
      <c r="DG214" s="299"/>
      <c r="DH214" s="299"/>
      <c r="DI214" s="299"/>
      <c r="DJ214" s="299"/>
      <c r="DK214" s="299"/>
      <c r="DL214" s="299"/>
      <c r="DM214" s="299"/>
      <c r="DN214" s="299"/>
      <c r="DO214" s="299"/>
      <c r="DP214" s="299"/>
      <c r="DQ214" s="299"/>
      <c r="DR214" s="299"/>
      <c r="DS214" s="298"/>
      <c r="DT214" s="298"/>
      <c r="DU214" s="298"/>
      <c r="DV214" s="298"/>
      <c r="DW214" s="298"/>
      <c r="DX214" s="298"/>
      <c r="DY214" s="298"/>
      <c r="DZ214" s="298"/>
      <c r="EA214" s="298"/>
      <c r="EB214" s="298"/>
      <c r="EC214" s="298"/>
      <c r="ED214" s="298"/>
      <c r="EE214" s="298"/>
      <c r="EF214" s="298"/>
      <c r="EG214" s="298"/>
    </row>
    <row r="215" spans="49:137" ht="11.75" customHeight="1" x14ac:dyDescent="0.15">
      <c r="AW215" s="298"/>
      <c r="AX215" s="298"/>
      <c r="AY215" s="298"/>
      <c r="AZ215" s="298"/>
      <c r="BA215" s="298"/>
      <c r="BB215" s="298"/>
      <c r="BC215" s="298"/>
      <c r="BD215" s="298"/>
      <c r="BE215" s="298"/>
      <c r="BF215" s="298"/>
      <c r="BG215" s="298"/>
      <c r="BH215" s="298"/>
      <c r="BI215" s="298"/>
      <c r="BJ215" s="298"/>
      <c r="BK215" s="298"/>
      <c r="BL215" s="298"/>
      <c r="BM215" s="298"/>
      <c r="BN215" s="298"/>
      <c r="BO215" s="298"/>
      <c r="BP215" s="298"/>
      <c r="BQ215" s="298"/>
      <c r="BR215" s="298"/>
      <c r="BS215" s="298"/>
      <c r="BT215" s="298"/>
      <c r="BU215" s="298"/>
      <c r="BV215" s="298"/>
      <c r="BW215" s="298"/>
      <c r="BX215" s="299"/>
      <c r="BY215" s="299"/>
      <c r="BZ215" s="299"/>
      <c r="CA215" s="299"/>
      <c r="CB215" s="299"/>
      <c r="CC215" s="299"/>
      <c r="CD215" s="299"/>
      <c r="CE215" s="299"/>
      <c r="CF215" s="299"/>
      <c r="CG215" s="299"/>
      <c r="CH215" s="299"/>
      <c r="CI215" s="299"/>
      <c r="CJ215" s="299"/>
      <c r="CK215" s="299"/>
      <c r="CL215" s="299"/>
      <c r="CM215" s="299"/>
      <c r="CN215" s="299"/>
      <c r="CO215" s="299"/>
      <c r="CP215" s="299"/>
      <c r="CQ215" s="299"/>
      <c r="CR215" s="299"/>
      <c r="CS215" s="299"/>
      <c r="CT215" s="299"/>
      <c r="CU215" s="299"/>
      <c r="CV215" s="299"/>
      <c r="CW215" s="299"/>
      <c r="CX215" s="299"/>
      <c r="CY215" s="299"/>
      <c r="CZ215" s="299"/>
      <c r="DA215" s="299"/>
      <c r="DB215" s="299"/>
      <c r="DC215" s="299"/>
      <c r="DD215" s="299"/>
      <c r="DE215" s="299"/>
      <c r="DF215" s="299"/>
      <c r="DG215" s="299"/>
      <c r="DH215" s="299"/>
      <c r="DI215" s="299"/>
      <c r="DJ215" s="299"/>
      <c r="DK215" s="299"/>
      <c r="DL215" s="299"/>
      <c r="DM215" s="299"/>
      <c r="DN215" s="299"/>
      <c r="DO215" s="299"/>
      <c r="DP215" s="299"/>
      <c r="DQ215" s="299"/>
      <c r="DR215" s="299"/>
      <c r="DS215" s="298"/>
      <c r="DT215" s="298"/>
      <c r="DU215" s="298"/>
      <c r="DV215" s="298"/>
      <c r="DW215" s="298"/>
      <c r="DX215" s="298"/>
      <c r="DY215" s="298"/>
      <c r="DZ215" s="298"/>
      <c r="EA215" s="298"/>
      <c r="EB215" s="298"/>
      <c r="EC215" s="298"/>
      <c r="ED215" s="298"/>
      <c r="EE215" s="298"/>
      <c r="EF215" s="298"/>
      <c r="EG215" s="298"/>
    </row>
    <row r="216" spans="49:137" ht="11.75" customHeight="1" x14ac:dyDescent="0.15">
      <c r="AW216" s="298"/>
      <c r="AX216" s="298"/>
      <c r="AY216" s="298"/>
      <c r="AZ216" s="298"/>
      <c r="BA216" s="298"/>
      <c r="BB216" s="298"/>
      <c r="BC216" s="298"/>
      <c r="BD216" s="298"/>
      <c r="BE216" s="298"/>
      <c r="BF216" s="298"/>
      <c r="BG216" s="298"/>
      <c r="BH216" s="298"/>
      <c r="BI216" s="298"/>
      <c r="BJ216" s="298"/>
      <c r="BK216" s="298"/>
      <c r="BL216" s="298"/>
      <c r="BM216" s="298"/>
      <c r="BN216" s="298"/>
      <c r="BO216" s="298"/>
      <c r="BP216" s="298"/>
      <c r="BQ216" s="298"/>
      <c r="BR216" s="298"/>
      <c r="BS216" s="298"/>
      <c r="BT216" s="298"/>
      <c r="BU216" s="298"/>
      <c r="BV216" s="298"/>
      <c r="BW216" s="298"/>
      <c r="BX216" s="299"/>
      <c r="BY216" s="299"/>
      <c r="BZ216" s="299"/>
      <c r="CA216" s="299"/>
      <c r="CB216" s="299"/>
      <c r="CC216" s="299"/>
      <c r="CD216" s="299"/>
      <c r="CE216" s="299"/>
      <c r="CF216" s="299"/>
      <c r="CG216" s="299"/>
      <c r="CH216" s="299"/>
      <c r="CI216" s="299"/>
      <c r="CJ216" s="299"/>
      <c r="CK216" s="299"/>
      <c r="CL216" s="299"/>
      <c r="CM216" s="299"/>
      <c r="CN216" s="299"/>
      <c r="CO216" s="299"/>
      <c r="CP216" s="299"/>
      <c r="CQ216" s="299"/>
      <c r="CR216" s="299"/>
      <c r="CS216" s="299"/>
      <c r="CT216" s="299"/>
      <c r="CU216" s="299"/>
      <c r="CV216" s="299"/>
      <c r="CW216" s="299"/>
      <c r="CX216" s="299"/>
      <c r="CY216" s="299"/>
      <c r="CZ216" s="299"/>
      <c r="DA216" s="299"/>
      <c r="DB216" s="299"/>
      <c r="DC216" s="299"/>
      <c r="DD216" s="299"/>
      <c r="DE216" s="299"/>
      <c r="DF216" s="299"/>
      <c r="DG216" s="299"/>
      <c r="DH216" s="299"/>
      <c r="DI216" s="299"/>
      <c r="DJ216" s="299"/>
      <c r="DK216" s="299"/>
      <c r="DL216" s="299"/>
      <c r="DM216" s="299"/>
      <c r="DN216" s="299"/>
      <c r="DO216" s="299"/>
      <c r="DP216" s="299"/>
      <c r="DQ216" s="299"/>
      <c r="DR216" s="299"/>
      <c r="DS216" s="298"/>
      <c r="DT216" s="298"/>
      <c r="DU216" s="298"/>
      <c r="DV216" s="298"/>
      <c r="DW216" s="298"/>
      <c r="DX216" s="298"/>
      <c r="DY216" s="298"/>
      <c r="DZ216" s="298"/>
      <c r="EA216" s="298"/>
      <c r="EB216" s="298"/>
      <c r="EC216" s="298"/>
      <c r="ED216" s="298"/>
      <c r="EE216" s="298"/>
      <c r="EF216" s="298"/>
      <c r="EG216" s="298"/>
    </row>
    <row r="217" spans="49:137" ht="11.75" customHeight="1" x14ac:dyDescent="0.15">
      <c r="AW217" s="298"/>
      <c r="AX217" s="298"/>
      <c r="AY217" s="298"/>
      <c r="AZ217" s="298"/>
      <c r="BA217" s="298"/>
      <c r="BB217" s="298"/>
      <c r="BC217" s="298"/>
      <c r="BD217" s="298"/>
      <c r="BE217" s="298"/>
      <c r="BF217" s="298"/>
      <c r="BG217" s="298"/>
      <c r="BH217" s="298"/>
      <c r="BI217" s="298"/>
      <c r="BJ217" s="298"/>
      <c r="BK217" s="298"/>
      <c r="BL217" s="298"/>
      <c r="BM217" s="298"/>
      <c r="BN217" s="298"/>
      <c r="BO217" s="298"/>
      <c r="BP217" s="298"/>
      <c r="BQ217" s="298"/>
      <c r="BR217" s="298"/>
      <c r="BS217" s="298"/>
      <c r="BT217" s="298"/>
      <c r="BU217" s="298"/>
      <c r="BV217" s="298"/>
      <c r="BW217" s="298"/>
      <c r="BX217" s="299"/>
      <c r="BY217" s="299"/>
      <c r="BZ217" s="299"/>
      <c r="CA217" s="299"/>
      <c r="CB217" s="299"/>
      <c r="CC217" s="299"/>
      <c r="CD217" s="299"/>
      <c r="CE217" s="299"/>
      <c r="CF217" s="299"/>
      <c r="CG217" s="299"/>
      <c r="CH217" s="299"/>
      <c r="CI217" s="299"/>
      <c r="CJ217" s="299"/>
      <c r="CK217" s="299"/>
      <c r="CL217" s="299"/>
      <c r="CM217" s="299"/>
      <c r="CN217" s="299"/>
      <c r="CO217" s="299"/>
      <c r="CP217" s="299"/>
      <c r="CQ217" s="299"/>
      <c r="CR217" s="299"/>
      <c r="CS217" s="299"/>
      <c r="CT217" s="299"/>
      <c r="CU217" s="299"/>
      <c r="CV217" s="299"/>
      <c r="CW217" s="299"/>
      <c r="CX217" s="299"/>
      <c r="CY217" s="299"/>
      <c r="CZ217" s="299"/>
      <c r="DA217" s="299"/>
      <c r="DB217" s="299"/>
      <c r="DC217" s="299"/>
      <c r="DD217" s="299"/>
      <c r="DE217" s="299"/>
      <c r="DF217" s="299"/>
      <c r="DG217" s="299"/>
      <c r="DH217" s="299"/>
      <c r="DI217" s="299"/>
      <c r="DJ217" s="299"/>
      <c r="DK217" s="299"/>
      <c r="DL217" s="299"/>
      <c r="DM217" s="299"/>
      <c r="DN217" s="299"/>
      <c r="DO217" s="299"/>
      <c r="DP217" s="299"/>
      <c r="DQ217" s="299"/>
      <c r="DR217" s="299"/>
      <c r="DS217" s="298"/>
      <c r="DT217" s="298"/>
      <c r="DU217" s="298"/>
      <c r="DV217" s="298"/>
      <c r="DW217" s="298"/>
      <c r="DX217" s="298"/>
      <c r="DY217" s="298"/>
      <c r="DZ217" s="298"/>
      <c r="EA217" s="298"/>
      <c r="EB217" s="298"/>
      <c r="EC217" s="298"/>
      <c r="ED217" s="298"/>
      <c r="EE217" s="298"/>
      <c r="EF217" s="298"/>
      <c r="EG217" s="298"/>
    </row>
    <row r="218" spans="49:137" ht="11.75" customHeight="1" x14ac:dyDescent="0.15">
      <c r="AW218" s="298"/>
      <c r="AX218" s="298"/>
      <c r="AY218" s="298"/>
      <c r="AZ218" s="298"/>
      <c r="BA218" s="298"/>
      <c r="BB218" s="298"/>
      <c r="BC218" s="298"/>
      <c r="BD218" s="298"/>
      <c r="BE218" s="298"/>
      <c r="BF218" s="298"/>
      <c r="BG218" s="298"/>
      <c r="BH218" s="298"/>
      <c r="BI218" s="298"/>
      <c r="BJ218" s="298"/>
      <c r="BK218" s="298"/>
      <c r="BL218" s="298"/>
      <c r="BM218" s="298"/>
      <c r="BN218" s="298"/>
      <c r="BO218" s="298"/>
      <c r="BP218" s="298"/>
      <c r="BQ218" s="298"/>
      <c r="BR218" s="298"/>
      <c r="BS218" s="298"/>
      <c r="BT218" s="298"/>
      <c r="BU218" s="298"/>
      <c r="BV218" s="298"/>
      <c r="BW218" s="298"/>
      <c r="BX218" s="299"/>
      <c r="BY218" s="299"/>
      <c r="BZ218" s="299"/>
      <c r="CA218" s="299"/>
      <c r="CB218" s="299"/>
      <c r="CC218" s="299"/>
      <c r="CD218" s="299"/>
      <c r="CE218" s="299"/>
      <c r="CF218" s="299"/>
      <c r="CG218" s="299"/>
      <c r="CH218" s="299"/>
      <c r="CI218" s="299"/>
      <c r="CJ218" s="299"/>
      <c r="CK218" s="299"/>
      <c r="CL218" s="299"/>
      <c r="CM218" s="299"/>
      <c r="CN218" s="299"/>
      <c r="CO218" s="299"/>
      <c r="CP218" s="299"/>
      <c r="CQ218" s="299"/>
      <c r="CR218" s="299"/>
      <c r="CS218" s="299"/>
      <c r="CT218" s="299"/>
      <c r="CU218" s="299"/>
      <c r="CV218" s="299"/>
      <c r="CW218" s="299"/>
      <c r="CX218" s="299"/>
      <c r="CY218" s="299"/>
      <c r="CZ218" s="299"/>
      <c r="DA218" s="299"/>
      <c r="DB218" s="299"/>
      <c r="DC218" s="299"/>
      <c r="DD218" s="299"/>
      <c r="DE218" s="299"/>
      <c r="DF218" s="299"/>
      <c r="DG218" s="299"/>
      <c r="DH218" s="299"/>
      <c r="DI218" s="299"/>
      <c r="DJ218" s="299"/>
      <c r="DK218" s="299"/>
      <c r="DL218" s="299"/>
      <c r="DM218" s="299"/>
      <c r="DN218" s="299"/>
      <c r="DO218" s="299"/>
      <c r="DP218" s="299"/>
      <c r="DQ218" s="299"/>
      <c r="DR218" s="299"/>
      <c r="DS218" s="298"/>
      <c r="DT218" s="298"/>
      <c r="DU218" s="298"/>
      <c r="DV218" s="298"/>
      <c r="DW218" s="298"/>
      <c r="DX218" s="298"/>
      <c r="DY218" s="298"/>
      <c r="DZ218" s="298"/>
      <c r="EA218" s="298"/>
      <c r="EB218" s="298"/>
      <c r="EC218" s="298"/>
      <c r="ED218" s="298"/>
      <c r="EE218" s="298"/>
      <c r="EF218" s="298"/>
      <c r="EG218" s="298"/>
    </row>
    <row r="219" spans="49:137" ht="11.75" customHeight="1" x14ac:dyDescent="0.15">
      <c r="AW219" s="298"/>
      <c r="AX219" s="298"/>
      <c r="AY219" s="298"/>
      <c r="AZ219" s="298"/>
      <c r="BA219" s="298"/>
      <c r="BB219" s="298"/>
      <c r="BC219" s="298"/>
      <c r="BD219" s="298"/>
      <c r="BE219" s="298"/>
      <c r="BF219" s="298"/>
      <c r="BG219" s="298"/>
      <c r="BH219" s="298"/>
      <c r="BI219" s="298"/>
      <c r="BJ219" s="298"/>
      <c r="BK219" s="298"/>
      <c r="BL219" s="298"/>
      <c r="BM219" s="298"/>
      <c r="BN219" s="298"/>
      <c r="BO219" s="298"/>
      <c r="BP219" s="298"/>
      <c r="BQ219" s="298"/>
      <c r="BR219" s="298"/>
      <c r="BS219" s="298"/>
      <c r="BT219" s="298"/>
      <c r="BU219" s="298"/>
      <c r="BV219" s="298"/>
      <c r="BW219" s="298"/>
      <c r="BX219" s="299"/>
      <c r="BY219" s="299"/>
      <c r="BZ219" s="299"/>
      <c r="CA219" s="299"/>
      <c r="CB219" s="299"/>
      <c r="CC219" s="299"/>
      <c r="CD219" s="299"/>
      <c r="CE219" s="299"/>
      <c r="CF219" s="299"/>
      <c r="CG219" s="299"/>
      <c r="CH219" s="299"/>
      <c r="CI219" s="299"/>
      <c r="CJ219" s="299"/>
      <c r="CK219" s="299"/>
      <c r="CL219" s="299"/>
      <c r="CM219" s="299"/>
      <c r="CN219" s="299"/>
      <c r="CO219" s="299"/>
      <c r="CP219" s="299"/>
      <c r="CQ219" s="299"/>
      <c r="CR219" s="299"/>
      <c r="CS219" s="299"/>
      <c r="CT219" s="299"/>
      <c r="CU219" s="299"/>
      <c r="CV219" s="299"/>
      <c r="CW219" s="299"/>
      <c r="CX219" s="299"/>
      <c r="CY219" s="299"/>
      <c r="CZ219" s="299"/>
      <c r="DA219" s="299"/>
      <c r="DB219" s="299"/>
      <c r="DC219" s="299"/>
      <c r="DD219" s="299"/>
      <c r="DE219" s="299"/>
      <c r="DF219" s="299"/>
      <c r="DG219" s="299"/>
      <c r="DH219" s="299"/>
      <c r="DI219" s="299"/>
      <c r="DJ219" s="299"/>
      <c r="DK219" s="299"/>
      <c r="DL219" s="299"/>
      <c r="DM219" s="299"/>
      <c r="DN219" s="299"/>
      <c r="DO219" s="299"/>
      <c r="DP219" s="299"/>
      <c r="DQ219" s="299"/>
      <c r="DR219" s="299"/>
      <c r="DS219" s="298"/>
      <c r="DT219" s="298"/>
      <c r="DU219" s="298"/>
      <c r="DV219" s="298"/>
      <c r="DW219" s="298"/>
      <c r="DX219" s="298"/>
      <c r="DY219" s="298"/>
      <c r="DZ219" s="298"/>
      <c r="EA219" s="298"/>
      <c r="EB219" s="298"/>
      <c r="EC219" s="298"/>
      <c r="ED219" s="298"/>
      <c r="EE219" s="298"/>
      <c r="EF219" s="298"/>
      <c r="EG219" s="298"/>
    </row>
    <row r="220" spans="49:137" ht="11.75" customHeight="1" x14ac:dyDescent="0.15">
      <c r="AW220" s="298"/>
      <c r="AX220" s="298"/>
      <c r="AY220" s="298"/>
      <c r="AZ220" s="298"/>
      <c r="BA220" s="298"/>
      <c r="BB220" s="298"/>
      <c r="BC220" s="298"/>
      <c r="BD220" s="298"/>
      <c r="BE220" s="298"/>
      <c r="BF220" s="298"/>
      <c r="BG220" s="298"/>
      <c r="BH220" s="298"/>
      <c r="BI220" s="298"/>
      <c r="BJ220" s="298"/>
      <c r="BK220" s="298"/>
      <c r="BL220" s="298"/>
      <c r="BM220" s="298"/>
      <c r="BN220" s="298"/>
      <c r="BO220" s="298"/>
      <c r="BP220" s="298"/>
      <c r="BQ220" s="298"/>
      <c r="BR220" s="298"/>
      <c r="BS220" s="298"/>
      <c r="BT220" s="298"/>
      <c r="BU220" s="298"/>
      <c r="BV220" s="298"/>
      <c r="BW220" s="298"/>
      <c r="BX220" s="299"/>
      <c r="BY220" s="299"/>
      <c r="BZ220" s="299"/>
      <c r="CA220" s="299"/>
      <c r="CB220" s="299"/>
      <c r="CC220" s="299"/>
      <c r="CD220" s="299"/>
      <c r="CE220" s="299"/>
      <c r="CF220" s="299"/>
      <c r="CG220" s="299"/>
      <c r="CH220" s="299"/>
      <c r="CI220" s="299"/>
      <c r="CJ220" s="299"/>
      <c r="CK220" s="299"/>
      <c r="CL220" s="299"/>
      <c r="CM220" s="299"/>
      <c r="CN220" s="299"/>
      <c r="CO220" s="299"/>
      <c r="CP220" s="299"/>
      <c r="CQ220" s="299"/>
      <c r="CR220" s="299"/>
      <c r="CS220" s="299"/>
      <c r="CT220" s="299"/>
      <c r="CU220" s="299"/>
      <c r="CV220" s="299"/>
      <c r="CW220" s="299"/>
      <c r="CX220" s="299"/>
      <c r="CY220" s="299"/>
      <c r="CZ220" s="299"/>
      <c r="DA220" s="299"/>
      <c r="DB220" s="299"/>
      <c r="DC220" s="299"/>
      <c r="DD220" s="299"/>
      <c r="DE220" s="299"/>
      <c r="DF220" s="299"/>
      <c r="DG220" s="299"/>
      <c r="DH220" s="299"/>
      <c r="DI220" s="299"/>
      <c r="DJ220" s="299"/>
      <c r="DK220" s="299"/>
      <c r="DL220" s="299"/>
      <c r="DM220" s="299"/>
      <c r="DN220" s="299"/>
      <c r="DO220" s="299"/>
      <c r="DP220" s="299"/>
      <c r="DQ220" s="299"/>
      <c r="DR220" s="299"/>
      <c r="DS220" s="298"/>
      <c r="DT220" s="298"/>
      <c r="DU220" s="298"/>
      <c r="DV220" s="298"/>
      <c r="DW220" s="298"/>
      <c r="DX220" s="298"/>
      <c r="DY220" s="298"/>
      <c r="DZ220" s="298"/>
      <c r="EA220" s="298"/>
      <c r="EB220" s="298"/>
      <c r="EC220" s="298"/>
      <c r="ED220" s="298"/>
      <c r="EE220" s="298"/>
      <c r="EF220" s="298"/>
      <c r="EG220" s="298"/>
    </row>
    <row r="221" spans="49:137" ht="11.75" customHeight="1" x14ac:dyDescent="0.15">
      <c r="AW221" s="298"/>
      <c r="AX221" s="298"/>
      <c r="AY221" s="298"/>
      <c r="AZ221" s="298"/>
      <c r="BA221" s="298"/>
      <c r="BB221" s="298"/>
      <c r="BC221" s="298"/>
      <c r="BD221" s="298"/>
      <c r="BE221" s="298"/>
      <c r="BF221" s="298"/>
      <c r="BG221" s="298"/>
      <c r="BH221" s="298"/>
      <c r="BI221" s="298"/>
      <c r="BJ221" s="298"/>
      <c r="BK221" s="298"/>
      <c r="BL221" s="298"/>
      <c r="BM221" s="298"/>
      <c r="BN221" s="298"/>
      <c r="BO221" s="298"/>
      <c r="BP221" s="298"/>
      <c r="BQ221" s="298"/>
      <c r="BR221" s="298"/>
      <c r="BS221" s="298"/>
      <c r="BT221" s="298"/>
      <c r="BU221" s="298"/>
      <c r="BV221" s="298"/>
      <c r="BW221" s="298"/>
      <c r="BX221" s="299"/>
      <c r="BY221" s="299"/>
      <c r="BZ221" s="299"/>
      <c r="CA221" s="299"/>
      <c r="CB221" s="299"/>
      <c r="CC221" s="299"/>
      <c r="CD221" s="299"/>
      <c r="CE221" s="299"/>
      <c r="CF221" s="299"/>
      <c r="CG221" s="299"/>
      <c r="CH221" s="299"/>
      <c r="CI221" s="299"/>
      <c r="CJ221" s="299"/>
      <c r="CK221" s="299"/>
      <c r="CL221" s="299"/>
      <c r="CM221" s="299"/>
      <c r="CN221" s="299"/>
      <c r="CO221" s="299"/>
      <c r="CP221" s="299"/>
      <c r="CQ221" s="299"/>
      <c r="CR221" s="299"/>
      <c r="CS221" s="299"/>
      <c r="CT221" s="299"/>
      <c r="CU221" s="299"/>
      <c r="CV221" s="299"/>
      <c r="CW221" s="299"/>
      <c r="CX221" s="299"/>
      <c r="CY221" s="299"/>
      <c r="CZ221" s="299"/>
      <c r="DA221" s="299"/>
      <c r="DB221" s="299"/>
      <c r="DC221" s="299"/>
      <c r="DD221" s="299"/>
      <c r="DE221" s="299"/>
      <c r="DF221" s="299"/>
      <c r="DG221" s="299"/>
      <c r="DH221" s="299"/>
      <c r="DI221" s="299"/>
      <c r="DJ221" s="299"/>
      <c r="DK221" s="299"/>
      <c r="DL221" s="299"/>
      <c r="DM221" s="299"/>
      <c r="DN221" s="299"/>
      <c r="DO221" s="299"/>
      <c r="DP221" s="299"/>
      <c r="DQ221" s="299"/>
      <c r="DR221" s="299"/>
      <c r="DS221" s="298"/>
      <c r="DT221" s="298"/>
      <c r="DU221" s="298"/>
      <c r="DV221" s="298"/>
      <c r="DW221" s="298"/>
      <c r="DX221" s="298"/>
      <c r="DY221" s="298"/>
      <c r="DZ221" s="298"/>
      <c r="EA221" s="298"/>
      <c r="EB221" s="298"/>
      <c r="EC221" s="298"/>
      <c r="ED221" s="298"/>
      <c r="EE221" s="298"/>
      <c r="EF221" s="298"/>
      <c r="EG221" s="298"/>
    </row>
    <row r="222" spans="49:137" ht="11.75" customHeight="1" x14ac:dyDescent="0.15">
      <c r="AW222" s="298"/>
      <c r="AX222" s="298"/>
      <c r="AY222" s="298"/>
      <c r="AZ222" s="298"/>
      <c r="BA222" s="298"/>
      <c r="BB222" s="298"/>
      <c r="BC222" s="298"/>
      <c r="BD222" s="298"/>
      <c r="BE222" s="298"/>
      <c r="BF222" s="298"/>
      <c r="BG222" s="298"/>
      <c r="BH222" s="298"/>
      <c r="BI222" s="298"/>
      <c r="BJ222" s="298"/>
      <c r="BK222" s="298"/>
      <c r="BL222" s="298"/>
      <c r="BM222" s="298"/>
      <c r="BN222" s="298"/>
      <c r="BO222" s="298"/>
      <c r="BP222" s="298"/>
      <c r="BQ222" s="298"/>
      <c r="BR222" s="298"/>
      <c r="BS222" s="298"/>
      <c r="BT222" s="298"/>
      <c r="BU222" s="298"/>
      <c r="BV222" s="298"/>
      <c r="BW222" s="298"/>
      <c r="BX222" s="299"/>
      <c r="BY222" s="299"/>
      <c r="BZ222" s="299"/>
      <c r="CA222" s="299"/>
      <c r="CB222" s="299"/>
      <c r="CC222" s="299"/>
      <c r="CD222" s="299"/>
      <c r="CE222" s="299"/>
      <c r="CF222" s="299"/>
      <c r="CG222" s="299"/>
      <c r="CH222" s="299"/>
      <c r="CI222" s="299"/>
      <c r="CJ222" s="299"/>
      <c r="CK222" s="299"/>
      <c r="CL222" s="299"/>
      <c r="CM222" s="299"/>
      <c r="CN222" s="299"/>
      <c r="CO222" s="299"/>
      <c r="CP222" s="299"/>
      <c r="CQ222" s="299"/>
      <c r="CR222" s="299"/>
      <c r="CS222" s="299"/>
      <c r="CT222" s="299"/>
      <c r="CU222" s="299"/>
      <c r="CV222" s="299"/>
      <c r="CW222" s="299"/>
      <c r="CX222" s="299"/>
      <c r="CY222" s="299"/>
      <c r="CZ222" s="299"/>
      <c r="DA222" s="299"/>
      <c r="DB222" s="299"/>
      <c r="DC222" s="299"/>
      <c r="DD222" s="299"/>
      <c r="DE222" s="299"/>
      <c r="DF222" s="299"/>
      <c r="DG222" s="299"/>
      <c r="DH222" s="299"/>
      <c r="DI222" s="299"/>
      <c r="DJ222" s="299"/>
      <c r="DK222" s="299"/>
      <c r="DL222" s="299"/>
      <c r="DM222" s="299"/>
      <c r="DN222" s="299"/>
      <c r="DO222" s="299"/>
      <c r="DP222" s="299"/>
      <c r="DQ222" s="299"/>
      <c r="DR222" s="299"/>
      <c r="DS222" s="298"/>
      <c r="DT222" s="298"/>
      <c r="DU222" s="298"/>
      <c r="DV222" s="298"/>
      <c r="DW222" s="298"/>
      <c r="DX222" s="298"/>
      <c r="DY222" s="298"/>
      <c r="DZ222" s="298"/>
      <c r="EA222" s="298"/>
      <c r="EB222" s="298"/>
      <c r="EC222" s="298"/>
      <c r="ED222" s="298"/>
      <c r="EE222" s="298"/>
      <c r="EF222" s="298"/>
      <c r="EG222" s="298"/>
    </row>
    <row r="223" spans="49:137" ht="11.75" customHeight="1" x14ac:dyDescent="0.15">
      <c r="AW223" s="298"/>
      <c r="AX223" s="298"/>
      <c r="AY223" s="298"/>
      <c r="AZ223" s="298"/>
      <c r="BA223" s="298"/>
      <c r="BB223" s="298"/>
      <c r="BC223" s="298"/>
      <c r="BD223" s="298"/>
      <c r="BE223" s="298"/>
      <c r="BF223" s="298"/>
      <c r="BG223" s="298"/>
      <c r="BH223" s="298"/>
      <c r="BI223" s="298"/>
      <c r="BJ223" s="298"/>
      <c r="BK223" s="298"/>
      <c r="BL223" s="298"/>
      <c r="BM223" s="298"/>
      <c r="BN223" s="298"/>
      <c r="BO223" s="298"/>
      <c r="BP223" s="298"/>
      <c r="BQ223" s="298"/>
      <c r="BR223" s="298"/>
      <c r="BS223" s="298"/>
      <c r="BT223" s="298"/>
      <c r="BU223" s="298"/>
      <c r="BV223" s="298"/>
      <c r="BW223" s="298"/>
      <c r="BX223" s="299"/>
      <c r="BY223" s="299"/>
      <c r="BZ223" s="299"/>
      <c r="CA223" s="299"/>
      <c r="CB223" s="299"/>
      <c r="CC223" s="299"/>
      <c r="CD223" s="299"/>
      <c r="CE223" s="299"/>
      <c r="CF223" s="299"/>
      <c r="CG223" s="299"/>
      <c r="CH223" s="299"/>
      <c r="CI223" s="299"/>
      <c r="CJ223" s="299"/>
      <c r="CK223" s="299"/>
      <c r="CL223" s="299"/>
      <c r="CM223" s="299"/>
      <c r="CN223" s="299"/>
      <c r="CO223" s="299"/>
      <c r="CP223" s="299"/>
      <c r="CQ223" s="299"/>
      <c r="CR223" s="299"/>
      <c r="CS223" s="299"/>
      <c r="CT223" s="299"/>
      <c r="CU223" s="299"/>
      <c r="CV223" s="299"/>
      <c r="CW223" s="299"/>
      <c r="CX223" s="299"/>
      <c r="CY223" s="299"/>
      <c r="CZ223" s="299"/>
      <c r="DA223" s="299"/>
      <c r="DB223" s="299"/>
      <c r="DC223" s="299"/>
      <c r="DD223" s="299"/>
      <c r="DE223" s="299"/>
      <c r="DF223" s="299"/>
      <c r="DG223" s="299"/>
      <c r="DH223" s="299"/>
      <c r="DI223" s="299"/>
      <c r="DJ223" s="299"/>
      <c r="DK223" s="299"/>
      <c r="DL223" s="299"/>
      <c r="DM223" s="299"/>
      <c r="DN223" s="299"/>
      <c r="DO223" s="299"/>
      <c r="DP223" s="299"/>
      <c r="DQ223" s="299"/>
      <c r="DR223" s="299"/>
      <c r="DS223" s="298"/>
      <c r="DT223" s="298"/>
      <c r="DU223" s="298"/>
      <c r="DV223" s="298"/>
      <c r="DW223" s="298"/>
      <c r="DX223" s="298"/>
      <c r="DY223" s="298"/>
      <c r="DZ223" s="298"/>
      <c r="EA223" s="298"/>
      <c r="EB223" s="298"/>
      <c r="EC223" s="298"/>
      <c r="ED223" s="298"/>
      <c r="EE223" s="298"/>
      <c r="EF223" s="298"/>
      <c r="EG223" s="298"/>
    </row>
    <row r="224" spans="49:137" ht="11.75" customHeight="1" x14ac:dyDescent="0.15">
      <c r="AW224" s="298"/>
      <c r="AX224" s="298"/>
      <c r="AY224" s="298"/>
      <c r="AZ224" s="298"/>
      <c r="BA224" s="298"/>
      <c r="BB224" s="298"/>
      <c r="BC224" s="298"/>
      <c r="BD224" s="298"/>
      <c r="BE224" s="298"/>
      <c r="BF224" s="298"/>
      <c r="BG224" s="298"/>
      <c r="BH224" s="298"/>
      <c r="BI224" s="298"/>
      <c r="BJ224" s="298"/>
      <c r="BK224" s="298"/>
      <c r="BL224" s="298"/>
      <c r="BM224" s="298"/>
      <c r="BN224" s="298"/>
      <c r="BO224" s="298"/>
      <c r="BP224" s="298"/>
      <c r="BQ224" s="298"/>
      <c r="BR224" s="298"/>
      <c r="BS224" s="298"/>
      <c r="BT224" s="298"/>
      <c r="BU224" s="298"/>
      <c r="BV224" s="298"/>
      <c r="BW224" s="298"/>
      <c r="BX224" s="299"/>
      <c r="BY224" s="299"/>
      <c r="BZ224" s="299"/>
      <c r="CA224" s="299"/>
      <c r="CB224" s="299"/>
      <c r="CC224" s="299"/>
      <c r="CD224" s="299"/>
      <c r="CE224" s="299"/>
      <c r="CF224" s="299"/>
      <c r="CG224" s="299"/>
      <c r="CH224" s="299"/>
      <c r="CI224" s="299"/>
      <c r="CJ224" s="299"/>
      <c r="CK224" s="299"/>
      <c r="CL224" s="299"/>
      <c r="CM224" s="299"/>
      <c r="CN224" s="299"/>
      <c r="CO224" s="299"/>
      <c r="CP224" s="299"/>
      <c r="CQ224" s="299"/>
      <c r="CR224" s="299"/>
      <c r="CS224" s="299"/>
      <c r="CT224" s="299"/>
      <c r="CU224" s="299"/>
      <c r="CV224" s="299"/>
      <c r="CW224" s="299"/>
      <c r="CX224" s="299"/>
      <c r="CY224" s="299"/>
      <c r="CZ224" s="299"/>
      <c r="DA224" s="299"/>
      <c r="DB224" s="299"/>
      <c r="DC224" s="299"/>
      <c r="DD224" s="299"/>
      <c r="DE224" s="299"/>
      <c r="DF224" s="299"/>
      <c r="DG224" s="299"/>
      <c r="DH224" s="299"/>
      <c r="DI224" s="299"/>
      <c r="DJ224" s="299"/>
      <c r="DK224" s="299"/>
      <c r="DL224" s="299"/>
      <c r="DM224" s="299"/>
      <c r="DN224" s="299"/>
      <c r="DO224" s="299"/>
      <c r="DP224" s="299"/>
      <c r="DQ224" s="299"/>
      <c r="DR224" s="299"/>
      <c r="DS224" s="298"/>
      <c r="DT224" s="298"/>
      <c r="DU224" s="298"/>
      <c r="DV224" s="298"/>
      <c r="DW224" s="298"/>
      <c r="DX224" s="298"/>
      <c r="DY224" s="298"/>
      <c r="DZ224" s="298"/>
      <c r="EA224" s="298"/>
      <c r="EB224" s="298"/>
      <c r="EC224" s="298"/>
      <c r="ED224" s="298"/>
      <c r="EE224" s="298"/>
      <c r="EF224" s="298"/>
      <c r="EG224" s="298"/>
    </row>
    <row r="225" spans="49:137" ht="11.75" customHeight="1" x14ac:dyDescent="0.15">
      <c r="AW225" s="298"/>
      <c r="AX225" s="298"/>
      <c r="AY225" s="298"/>
      <c r="AZ225" s="298"/>
      <c r="BA225" s="298"/>
      <c r="BB225" s="298"/>
      <c r="BC225" s="298"/>
      <c r="BD225" s="298"/>
      <c r="BE225" s="298"/>
      <c r="BF225" s="298"/>
      <c r="BG225" s="298"/>
      <c r="BH225" s="298"/>
      <c r="BI225" s="298"/>
      <c r="BJ225" s="298"/>
      <c r="BK225" s="298"/>
      <c r="BL225" s="298"/>
      <c r="BM225" s="298"/>
      <c r="BN225" s="298"/>
      <c r="BO225" s="298"/>
      <c r="BP225" s="298"/>
      <c r="BQ225" s="298"/>
      <c r="BR225" s="298"/>
      <c r="BS225" s="298"/>
      <c r="BT225" s="298"/>
      <c r="BU225" s="298"/>
      <c r="BV225" s="298"/>
      <c r="BW225" s="298"/>
      <c r="BX225" s="299"/>
      <c r="BY225" s="299"/>
      <c r="BZ225" s="299"/>
      <c r="CA225" s="299"/>
      <c r="CB225" s="299"/>
      <c r="CC225" s="299"/>
      <c r="CD225" s="299"/>
      <c r="CE225" s="299"/>
      <c r="CF225" s="299"/>
      <c r="CG225" s="299"/>
      <c r="CH225" s="299"/>
      <c r="CI225" s="299"/>
      <c r="CJ225" s="299"/>
      <c r="CK225" s="299"/>
      <c r="CL225" s="299"/>
      <c r="CM225" s="299"/>
      <c r="CN225" s="299"/>
      <c r="CO225" s="299"/>
      <c r="CP225" s="299"/>
      <c r="CQ225" s="299"/>
      <c r="CR225" s="299"/>
      <c r="CS225" s="299"/>
      <c r="CT225" s="299"/>
      <c r="CU225" s="299"/>
      <c r="CV225" s="299"/>
      <c r="CW225" s="299"/>
      <c r="CX225" s="299"/>
      <c r="CY225" s="299"/>
      <c r="CZ225" s="299"/>
      <c r="DA225" s="299"/>
      <c r="DB225" s="299"/>
      <c r="DC225" s="299"/>
      <c r="DD225" s="299"/>
      <c r="DE225" s="299"/>
      <c r="DF225" s="299"/>
      <c r="DG225" s="299"/>
      <c r="DH225" s="299"/>
      <c r="DI225" s="299"/>
      <c r="DJ225" s="299"/>
      <c r="DK225" s="299"/>
      <c r="DL225" s="299"/>
      <c r="DM225" s="299"/>
      <c r="DN225" s="299"/>
      <c r="DO225" s="299"/>
      <c r="DP225" s="299"/>
      <c r="DQ225" s="299"/>
      <c r="DR225" s="299"/>
      <c r="DS225" s="298"/>
      <c r="DT225" s="298"/>
      <c r="DU225" s="298"/>
      <c r="DV225" s="298"/>
      <c r="DW225" s="298"/>
      <c r="DX225" s="298"/>
      <c r="DY225" s="298"/>
      <c r="DZ225" s="298"/>
      <c r="EA225" s="298"/>
      <c r="EB225" s="298"/>
      <c r="EC225" s="298"/>
      <c r="ED225" s="298"/>
      <c r="EE225" s="298"/>
      <c r="EF225" s="298"/>
      <c r="EG225" s="298"/>
    </row>
    <row r="226" spans="49:137" ht="11.75" customHeight="1" x14ac:dyDescent="0.15">
      <c r="AW226" s="298"/>
      <c r="AX226" s="298"/>
      <c r="AY226" s="298"/>
      <c r="AZ226" s="298"/>
      <c r="BA226" s="298"/>
      <c r="BB226" s="298"/>
      <c r="BC226" s="298"/>
      <c r="BD226" s="298"/>
      <c r="BE226" s="298"/>
      <c r="BF226" s="298"/>
      <c r="BG226" s="298"/>
      <c r="BH226" s="298"/>
      <c r="BI226" s="298"/>
      <c r="BJ226" s="298"/>
      <c r="BK226" s="298"/>
      <c r="BL226" s="298"/>
      <c r="BM226" s="298"/>
      <c r="BN226" s="298"/>
      <c r="BO226" s="298"/>
      <c r="BP226" s="298"/>
      <c r="BQ226" s="298"/>
      <c r="BR226" s="298"/>
      <c r="BS226" s="298"/>
      <c r="BT226" s="298"/>
      <c r="BU226" s="298"/>
      <c r="BV226" s="298"/>
      <c r="BW226" s="298"/>
      <c r="BX226" s="299"/>
      <c r="BY226" s="299"/>
      <c r="BZ226" s="299"/>
      <c r="CA226" s="299"/>
      <c r="CB226" s="299"/>
      <c r="CC226" s="299"/>
      <c r="CD226" s="299"/>
      <c r="CE226" s="299"/>
      <c r="CF226" s="299"/>
      <c r="CG226" s="299"/>
      <c r="CH226" s="299"/>
      <c r="CI226" s="299"/>
      <c r="CJ226" s="299"/>
      <c r="CK226" s="299"/>
      <c r="CL226" s="299"/>
      <c r="CM226" s="299"/>
      <c r="CN226" s="299"/>
      <c r="CO226" s="299"/>
      <c r="CP226" s="299"/>
      <c r="CQ226" s="299"/>
      <c r="CR226" s="299"/>
      <c r="CS226" s="299"/>
      <c r="CT226" s="299"/>
      <c r="CU226" s="299"/>
      <c r="CV226" s="299"/>
      <c r="CW226" s="299"/>
      <c r="CX226" s="299"/>
      <c r="CY226" s="299"/>
      <c r="CZ226" s="299"/>
      <c r="DA226" s="299"/>
      <c r="DB226" s="299"/>
      <c r="DC226" s="299"/>
      <c r="DD226" s="299"/>
      <c r="DE226" s="299"/>
      <c r="DF226" s="299"/>
      <c r="DG226" s="299"/>
      <c r="DH226" s="299"/>
      <c r="DI226" s="299"/>
      <c r="DJ226" s="299"/>
      <c r="DK226" s="299"/>
      <c r="DL226" s="299"/>
      <c r="DM226" s="299"/>
      <c r="DN226" s="299"/>
      <c r="DO226" s="299"/>
      <c r="DP226" s="299"/>
      <c r="DQ226" s="299"/>
      <c r="DR226" s="299"/>
      <c r="DS226" s="298"/>
      <c r="DT226" s="298"/>
      <c r="DU226" s="298"/>
      <c r="DV226" s="298"/>
      <c r="DW226" s="298"/>
      <c r="DX226" s="298"/>
      <c r="DY226" s="298"/>
      <c r="DZ226" s="298"/>
      <c r="EA226" s="298"/>
      <c r="EB226" s="298"/>
      <c r="EC226" s="298"/>
      <c r="ED226" s="298"/>
      <c r="EE226" s="298"/>
      <c r="EF226" s="298"/>
      <c r="EG226" s="298"/>
    </row>
    <row r="227" spans="49:137" ht="11.75" customHeight="1" x14ac:dyDescent="0.15">
      <c r="AW227" s="298"/>
      <c r="AX227" s="298"/>
      <c r="AY227" s="298"/>
      <c r="AZ227" s="298"/>
      <c r="BA227" s="298"/>
      <c r="BB227" s="298"/>
      <c r="BC227" s="298"/>
      <c r="BD227" s="298"/>
      <c r="BE227" s="298"/>
      <c r="BF227" s="298"/>
      <c r="BG227" s="298"/>
      <c r="BH227" s="298"/>
      <c r="BI227" s="298"/>
      <c r="BJ227" s="298"/>
      <c r="BK227" s="298"/>
      <c r="BL227" s="298"/>
      <c r="BM227" s="298"/>
      <c r="BN227" s="298"/>
      <c r="BO227" s="298"/>
      <c r="BP227" s="298"/>
      <c r="BQ227" s="298"/>
      <c r="BR227" s="298"/>
      <c r="BS227" s="298"/>
      <c r="BT227" s="298"/>
      <c r="BU227" s="298"/>
      <c r="BV227" s="298"/>
      <c r="BW227" s="298"/>
      <c r="BX227" s="299"/>
      <c r="BY227" s="299"/>
      <c r="BZ227" s="299"/>
      <c r="CA227" s="299"/>
      <c r="CB227" s="299"/>
      <c r="CC227" s="299"/>
      <c r="CD227" s="299"/>
      <c r="CE227" s="299"/>
      <c r="CF227" s="299"/>
      <c r="CG227" s="299"/>
      <c r="CH227" s="299"/>
      <c r="CI227" s="299"/>
      <c r="CJ227" s="299"/>
      <c r="CK227" s="299"/>
      <c r="CL227" s="299"/>
      <c r="CM227" s="299"/>
      <c r="CN227" s="299"/>
      <c r="CO227" s="299"/>
      <c r="CP227" s="299"/>
      <c r="CQ227" s="299"/>
      <c r="CR227" s="299"/>
      <c r="CS227" s="299"/>
      <c r="CT227" s="299"/>
      <c r="CU227" s="299"/>
      <c r="CV227" s="299"/>
      <c r="CW227" s="299"/>
      <c r="CX227" s="299"/>
      <c r="CY227" s="299"/>
      <c r="CZ227" s="299"/>
      <c r="DA227" s="299"/>
      <c r="DB227" s="299"/>
      <c r="DC227" s="299"/>
      <c r="DD227" s="299"/>
      <c r="DE227" s="299"/>
      <c r="DF227" s="299"/>
      <c r="DG227" s="299"/>
      <c r="DH227" s="299"/>
      <c r="DI227" s="299"/>
      <c r="DJ227" s="299"/>
      <c r="DK227" s="299"/>
      <c r="DL227" s="299"/>
      <c r="DM227" s="299"/>
      <c r="DN227" s="299"/>
      <c r="DO227" s="299"/>
      <c r="DP227" s="299"/>
      <c r="DQ227" s="299"/>
      <c r="DR227" s="299"/>
      <c r="DS227" s="298"/>
      <c r="DT227" s="298"/>
      <c r="DU227" s="298"/>
      <c r="DV227" s="298"/>
      <c r="DW227" s="298"/>
      <c r="DX227" s="298"/>
      <c r="DY227" s="298"/>
      <c r="DZ227" s="298"/>
      <c r="EA227" s="298"/>
      <c r="EB227" s="298"/>
      <c r="EC227" s="298"/>
      <c r="ED227" s="298"/>
      <c r="EE227" s="298"/>
      <c r="EF227" s="298"/>
      <c r="EG227" s="298"/>
    </row>
    <row r="228" spans="49:137" ht="11.75" customHeight="1" x14ac:dyDescent="0.15">
      <c r="AW228" s="298"/>
      <c r="AX228" s="298"/>
      <c r="AY228" s="298"/>
      <c r="AZ228" s="298"/>
      <c r="BA228" s="298"/>
      <c r="BB228" s="298"/>
      <c r="BC228" s="298"/>
      <c r="BD228" s="298"/>
      <c r="BE228" s="298"/>
      <c r="BF228" s="298"/>
      <c r="BG228" s="298"/>
      <c r="BH228" s="298"/>
      <c r="BI228" s="298"/>
      <c r="BJ228" s="298"/>
      <c r="BK228" s="298"/>
      <c r="BL228" s="298"/>
      <c r="BM228" s="298"/>
      <c r="BN228" s="298"/>
      <c r="BO228" s="298"/>
      <c r="BP228" s="298"/>
      <c r="BQ228" s="298"/>
      <c r="BR228" s="298"/>
      <c r="BS228" s="298"/>
      <c r="BT228" s="298"/>
      <c r="BU228" s="298"/>
      <c r="BV228" s="298"/>
      <c r="BW228" s="298"/>
      <c r="BX228" s="299"/>
      <c r="BY228" s="299"/>
      <c r="BZ228" s="299"/>
      <c r="CA228" s="299"/>
      <c r="CB228" s="299"/>
      <c r="CC228" s="299"/>
      <c r="CD228" s="299"/>
      <c r="CE228" s="299"/>
      <c r="CF228" s="299"/>
      <c r="CG228" s="299"/>
      <c r="CH228" s="299"/>
      <c r="CI228" s="299"/>
      <c r="CJ228" s="299"/>
      <c r="CK228" s="299"/>
      <c r="CL228" s="299"/>
      <c r="CM228" s="299"/>
      <c r="CN228" s="299"/>
      <c r="CO228" s="299"/>
      <c r="CP228" s="299"/>
      <c r="CQ228" s="299"/>
      <c r="CR228" s="299"/>
      <c r="CS228" s="299"/>
      <c r="CT228" s="299"/>
      <c r="CU228" s="299"/>
      <c r="CV228" s="299"/>
      <c r="CW228" s="299"/>
      <c r="CX228" s="299"/>
      <c r="CY228" s="299"/>
      <c r="CZ228" s="299"/>
      <c r="DA228" s="299"/>
      <c r="DB228" s="299"/>
      <c r="DC228" s="299"/>
      <c r="DD228" s="299"/>
      <c r="DE228" s="299"/>
      <c r="DF228" s="299"/>
      <c r="DG228" s="299"/>
      <c r="DH228" s="299"/>
      <c r="DI228" s="299"/>
      <c r="DJ228" s="299"/>
      <c r="DK228" s="299"/>
      <c r="DL228" s="299"/>
      <c r="DM228" s="299"/>
      <c r="DN228" s="299"/>
      <c r="DO228" s="299"/>
      <c r="DP228" s="299"/>
      <c r="DQ228" s="299"/>
      <c r="DR228" s="299"/>
      <c r="DS228" s="298"/>
      <c r="DT228" s="298"/>
      <c r="DU228" s="298"/>
      <c r="DV228" s="298"/>
      <c r="DW228" s="298"/>
      <c r="DX228" s="298"/>
      <c r="DY228" s="298"/>
      <c r="DZ228" s="298"/>
      <c r="EA228" s="298"/>
      <c r="EB228" s="298"/>
      <c r="EC228" s="298"/>
      <c r="ED228" s="298"/>
      <c r="EE228" s="298"/>
      <c r="EF228" s="298"/>
      <c r="EG228" s="298"/>
    </row>
    <row r="229" spans="49:137" ht="11.75" customHeight="1" x14ac:dyDescent="0.15">
      <c r="AW229" s="298"/>
      <c r="AX229" s="298"/>
      <c r="AY229" s="298"/>
      <c r="AZ229" s="298"/>
      <c r="BA229" s="298"/>
      <c r="BB229" s="298"/>
      <c r="BC229" s="298"/>
      <c r="BD229" s="298"/>
      <c r="BE229" s="298"/>
      <c r="BF229" s="298"/>
      <c r="BG229" s="298"/>
      <c r="BH229" s="298"/>
      <c r="BI229" s="298"/>
      <c r="BJ229" s="298"/>
      <c r="BK229" s="298"/>
      <c r="BL229" s="298"/>
      <c r="BM229" s="298"/>
      <c r="BN229" s="298"/>
      <c r="BO229" s="298"/>
      <c r="BP229" s="298"/>
      <c r="BQ229" s="298"/>
      <c r="BR229" s="298"/>
      <c r="BS229" s="298"/>
      <c r="BT229" s="298"/>
      <c r="BU229" s="298"/>
      <c r="BV229" s="298"/>
      <c r="BW229" s="298"/>
      <c r="BX229" s="299"/>
      <c r="BY229" s="299"/>
      <c r="BZ229" s="299"/>
      <c r="CA229" s="299"/>
      <c r="CB229" s="299"/>
      <c r="CC229" s="299"/>
      <c r="CD229" s="299"/>
      <c r="CE229" s="299"/>
      <c r="CF229" s="299"/>
      <c r="CG229" s="299"/>
      <c r="CH229" s="299"/>
      <c r="CI229" s="299"/>
      <c r="CJ229" s="299"/>
      <c r="CK229" s="299"/>
      <c r="CL229" s="299"/>
      <c r="CM229" s="299"/>
      <c r="CN229" s="299"/>
      <c r="CO229" s="299"/>
      <c r="CP229" s="299"/>
      <c r="CQ229" s="299"/>
      <c r="CR229" s="299"/>
      <c r="CS229" s="299"/>
      <c r="CT229" s="299"/>
      <c r="CU229" s="299"/>
      <c r="CV229" s="299"/>
      <c r="CW229" s="299"/>
      <c r="CX229" s="299"/>
      <c r="CY229" s="299"/>
      <c r="CZ229" s="299"/>
      <c r="DA229" s="299"/>
      <c r="DB229" s="299"/>
      <c r="DC229" s="299"/>
      <c r="DD229" s="299"/>
      <c r="DE229" s="299"/>
      <c r="DF229" s="299"/>
      <c r="DG229" s="299"/>
      <c r="DH229" s="299"/>
      <c r="DI229" s="299"/>
      <c r="DJ229" s="299"/>
      <c r="DK229" s="299"/>
      <c r="DL229" s="299"/>
      <c r="DM229" s="299"/>
      <c r="DN229" s="299"/>
      <c r="DO229" s="299"/>
      <c r="DP229" s="299"/>
      <c r="DQ229" s="299"/>
      <c r="DR229" s="299"/>
      <c r="DS229" s="298"/>
      <c r="DT229" s="298"/>
      <c r="DU229" s="298"/>
      <c r="DV229" s="298"/>
      <c r="DW229" s="298"/>
      <c r="DX229" s="298"/>
      <c r="DY229" s="298"/>
      <c r="DZ229" s="298"/>
      <c r="EA229" s="298"/>
      <c r="EB229" s="298"/>
      <c r="EC229" s="298"/>
      <c r="ED229" s="298"/>
      <c r="EE229" s="298"/>
      <c r="EF229" s="298"/>
      <c r="EG229" s="298"/>
    </row>
    <row r="230" spans="49:137" ht="11.75" customHeight="1" x14ac:dyDescent="0.15">
      <c r="AW230" s="298"/>
      <c r="AX230" s="298"/>
      <c r="AY230" s="298"/>
      <c r="AZ230" s="298"/>
      <c r="BA230" s="298"/>
      <c r="BB230" s="298"/>
      <c r="BC230" s="298"/>
      <c r="BD230" s="298"/>
      <c r="BE230" s="298"/>
      <c r="BF230" s="298"/>
      <c r="BG230" s="298"/>
      <c r="BH230" s="298"/>
      <c r="BI230" s="298"/>
      <c r="BJ230" s="298"/>
      <c r="BK230" s="298"/>
      <c r="BL230" s="298"/>
      <c r="BM230" s="298"/>
      <c r="BN230" s="298"/>
      <c r="BO230" s="298"/>
      <c r="BP230" s="298"/>
      <c r="BQ230" s="298"/>
      <c r="BR230" s="298"/>
      <c r="BS230" s="298"/>
      <c r="BT230" s="298"/>
      <c r="BU230" s="298"/>
      <c r="BV230" s="298"/>
      <c r="BW230" s="298"/>
      <c r="BX230" s="299"/>
      <c r="BY230" s="299"/>
      <c r="BZ230" s="299"/>
      <c r="CA230" s="299"/>
      <c r="CB230" s="299"/>
      <c r="CC230" s="299"/>
      <c r="CD230" s="299"/>
      <c r="CE230" s="299"/>
      <c r="CF230" s="299"/>
      <c r="CG230" s="299"/>
      <c r="CH230" s="299"/>
      <c r="CI230" s="299"/>
      <c r="CJ230" s="299"/>
      <c r="CK230" s="299"/>
      <c r="CL230" s="299"/>
      <c r="CM230" s="299"/>
      <c r="CN230" s="299"/>
      <c r="CO230" s="299"/>
      <c r="CP230" s="299"/>
      <c r="CQ230" s="299"/>
      <c r="CR230" s="299"/>
      <c r="CS230" s="299"/>
      <c r="CT230" s="299"/>
      <c r="CU230" s="299"/>
      <c r="CV230" s="299"/>
      <c r="CW230" s="299"/>
      <c r="CX230" s="299"/>
      <c r="CY230" s="299"/>
      <c r="CZ230" s="299"/>
      <c r="DA230" s="299"/>
      <c r="DB230" s="299"/>
      <c r="DC230" s="299"/>
      <c r="DD230" s="299"/>
      <c r="DE230" s="299"/>
      <c r="DF230" s="299"/>
      <c r="DG230" s="299"/>
      <c r="DH230" s="299"/>
      <c r="DI230" s="299"/>
      <c r="DJ230" s="299"/>
      <c r="DK230" s="299"/>
      <c r="DL230" s="299"/>
      <c r="DM230" s="299"/>
      <c r="DN230" s="299"/>
      <c r="DO230" s="299"/>
      <c r="DP230" s="299"/>
      <c r="DQ230" s="299"/>
      <c r="DR230" s="299"/>
      <c r="DS230" s="298"/>
      <c r="DT230" s="298"/>
      <c r="DU230" s="298"/>
      <c r="DV230" s="298"/>
      <c r="DW230" s="298"/>
      <c r="DX230" s="298"/>
      <c r="DY230" s="298"/>
      <c r="DZ230" s="298"/>
      <c r="EA230" s="298"/>
      <c r="EB230" s="298"/>
      <c r="EC230" s="298"/>
      <c r="ED230" s="298"/>
      <c r="EE230" s="298"/>
      <c r="EF230" s="298"/>
      <c r="EG230" s="298"/>
    </row>
    <row r="231" spans="49:137" ht="11.75" customHeight="1" x14ac:dyDescent="0.15">
      <c r="AW231" s="298"/>
      <c r="AX231" s="298"/>
      <c r="AY231" s="298"/>
      <c r="AZ231" s="298"/>
      <c r="BA231" s="298"/>
      <c r="BB231" s="298"/>
      <c r="BC231" s="298"/>
      <c r="BD231" s="298"/>
      <c r="BE231" s="298"/>
      <c r="BF231" s="298"/>
      <c r="BG231" s="298"/>
      <c r="BH231" s="298"/>
      <c r="BI231" s="298"/>
      <c r="BJ231" s="298"/>
      <c r="BK231" s="298"/>
      <c r="BL231" s="298"/>
      <c r="BM231" s="298"/>
      <c r="BN231" s="298"/>
      <c r="BO231" s="298"/>
      <c r="BP231" s="298"/>
      <c r="BQ231" s="298"/>
      <c r="BR231" s="298"/>
      <c r="BS231" s="298"/>
      <c r="BT231" s="298"/>
      <c r="BU231" s="298"/>
      <c r="BV231" s="298"/>
      <c r="BW231" s="298"/>
      <c r="BX231" s="299"/>
      <c r="BY231" s="299"/>
      <c r="BZ231" s="299"/>
      <c r="CA231" s="299"/>
      <c r="CB231" s="299"/>
      <c r="CC231" s="299"/>
      <c r="CD231" s="299"/>
      <c r="CE231" s="299"/>
      <c r="CF231" s="299"/>
      <c r="CG231" s="299"/>
      <c r="CH231" s="299"/>
      <c r="CI231" s="299"/>
      <c r="CJ231" s="299"/>
      <c r="CK231" s="299"/>
      <c r="CL231" s="299"/>
      <c r="CM231" s="299"/>
      <c r="CN231" s="299"/>
      <c r="CO231" s="299"/>
      <c r="CP231" s="299"/>
      <c r="CQ231" s="299"/>
      <c r="CR231" s="299"/>
      <c r="CS231" s="299"/>
      <c r="CT231" s="299"/>
      <c r="CU231" s="299"/>
      <c r="CV231" s="299"/>
      <c r="CW231" s="299"/>
      <c r="CX231" s="299"/>
      <c r="CY231" s="299"/>
      <c r="CZ231" s="299"/>
      <c r="DA231" s="299"/>
      <c r="DB231" s="299"/>
      <c r="DC231" s="299"/>
      <c r="DD231" s="299"/>
      <c r="DE231" s="299"/>
      <c r="DF231" s="299"/>
      <c r="DG231" s="299"/>
      <c r="DH231" s="299"/>
      <c r="DI231" s="299"/>
      <c r="DJ231" s="299"/>
      <c r="DK231" s="299"/>
      <c r="DL231" s="299"/>
      <c r="DM231" s="299"/>
      <c r="DN231" s="299"/>
      <c r="DO231" s="299"/>
      <c r="DP231" s="299"/>
      <c r="DQ231" s="299"/>
      <c r="DR231" s="299"/>
      <c r="DS231" s="298"/>
      <c r="DT231" s="298"/>
      <c r="DU231" s="298"/>
      <c r="DV231" s="298"/>
      <c r="DW231" s="298"/>
      <c r="DX231" s="298"/>
      <c r="DY231" s="298"/>
      <c r="DZ231" s="298"/>
      <c r="EA231" s="298"/>
      <c r="EB231" s="298"/>
      <c r="EC231" s="298"/>
      <c r="ED231" s="298"/>
      <c r="EE231" s="298"/>
      <c r="EF231" s="298"/>
      <c r="EG231" s="298"/>
    </row>
    <row r="232" spans="49:137" ht="11.75" customHeight="1" x14ac:dyDescent="0.15">
      <c r="AW232" s="298"/>
      <c r="AX232" s="298"/>
      <c r="AY232" s="298"/>
      <c r="AZ232" s="298"/>
      <c r="BA232" s="298"/>
      <c r="BB232" s="298"/>
      <c r="BC232" s="298"/>
      <c r="BD232" s="298"/>
      <c r="BE232" s="298"/>
      <c r="BF232" s="298"/>
      <c r="BG232" s="298"/>
      <c r="BH232" s="298"/>
      <c r="BI232" s="298"/>
      <c r="BJ232" s="298"/>
      <c r="BK232" s="298"/>
      <c r="BL232" s="298"/>
      <c r="BM232" s="298"/>
      <c r="BN232" s="298"/>
      <c r="BO232" s="298"/>
      <c r="BP232" s="298"/>
      <c r="BQ232" s="298"/>
      <c r="BR232" s="298"/>
      <c r="BS232" s="298"/>
      <c r="BT232" s="298"/>
      <c r="BU232" s="298"/>
      <c r="BV232" s="298"/>
      <c r="BW232" s="298"/>
      <c r="BX232" s="299"/>
      <c r="BY232" s="299"/>
      <c r="BZ232" s="299"/>
      <c r="CA232" s="299"/>
      <c r="CB232" s="299"/>
      <c r="CC232" s="299"/>
      <c r="CD232" s="299"/>
      <c r="CE232" s="299"/>
      <c r="CF232" s="299"/>
      <c r="CG232" s="299"/>
      <c r="CH232" s="299"/>
      <c r="CI232" s="299"/>
      <c r="CJ232" s="299"/>
      <c r="CK232" s="299"/>
      <c r="CL232" s="299"/>
      <c r="CM232" s="299"/>
      <c r="CN232" s="299"/>
      <c r="CO232" s="299"/>
      <c r="CP232" s="299"/>
      <c r="CQ232" s="299"/>
      <c r="CR232" s="299"/>
      <c r="CS232" s="299"/>
      <c r="CT232" s="299"/>
      <c r="CU232" s="299"/>
      <c r="CV232" s="299"/>
      <c r="CW232" s="299"/>
      <c r="CX232" s="299"/>
      <c r="CY232" s="299"/>
      <c r="CZ232" s="299"/>
      <c r="DA232" s="299"/>
      <c r="DB232" s="299"/>
      <c r="DC232" s="299"/>
      <c r="DD232" s="299"/>
      <c r="DE232" s="299"/>
      <c r="DF232" s="299"/>
      <c r="DG232" s="299"/>
      <c r="DH232" s="299"/>
      <c r="DI232" s="299"/>
      <c r="DJ232" s="299"/>
      <c r="DK232" s="299"/>
      <c r="DL232" s="299"/>
      <c r="DM232" s="299"/>
      <c r="DN232" s="299"/>
      <c r="DO232" s="299"/>
      <c r="DP232" s="299"/>
      <c r="DQ232" s="299"/>
      <c r="DR232" s="299"/>
      <c r="DS232" s="298"/>
      <c r="DT232" s="298"/>
      <c r="DU232" s="298"/>
      <c r="DV232" s="298"/>
      <c r="DW232" s="298"/>
      <c r="DX232" s="298"/>
      <c r="DY232" s="298"/>
      <c r="DZ232" s="298"/>
      <c r="EA232" s="298"/>
      <c r="EB232" s="298"/>
      <c r="EC232" s="298"/>
      <c r="ED232" s="298"/>
      <c r="EE232" s="298"/>
      <c r="EF232" s="298"/>
      <c r="EG232" s="298"/>
    </row>
    <row r="233" spans="49:137" ht="11.75" customHeight="1" x14ac:dyDescent="0.15">
      <c r="AW233" s="298"/>
      <c r="AX233" s="298"/>
      <c r="AY233" s="298"/>
      <c r="AZ233" s="298"/>
      <c r="BA233" s="298"/>
      <c r="BB233" s="298"/>
      <c r="BC233" s="298"/>
      <c r="BD233" s="298"/>
      <c r="BE233" s="298"/>
      <c r="BF233" s="298"/>
      <c r="BG233" s="298"/>
      <c r="BH233" s="298"/>
      <c r="BI233" s="298"/>
      <c r="BJ233" s="298"/>
      <c r="BK233" s="298"/>
      <c r="BL233" s="298"/>
      <c r="BM233" s="298"/>
      <c r="BN233" s="298"/>
      <c r="BO233" s="298"/>
      <c r="BP233" s="298"/>
      <c r="BQ233" s="298"/>
      <c r="BR233" s="298"/>
      <c r="BS233" s="298"/>
      <c r="BT233" s="298"/>
      <c r="BU233" s="298"/>
      <c r="BV233" s="298"/>
      <c r="BW233" s="298"/>
      <c r="BX233" s="299"/>
      <c r="BY233" s="299"/>
      <c r="BZ233" s="299"/>
      <c r="CA233" s="299"/>
      <c r="CB233" s="299"/>
      <c r="CC233" s="299"/>
      <c r="CD233" s="299"/>
      <c r="CE233" s="299"/>
      <c r="CF233" s="299"/>
      <c r="CG233" s="299"/>
      <c r="CH233" s="299"/>
      <c r="CI233" s="299"/>
      <c r="CJ233" s="299"/>
      <c r="CK233" s="299"/>
      <c r="CL233" s="299"/>
      <c r="CM233" s="299"/>
      <c r="CN233" s="299"/>
      <c r="CO233" s="299"/>
      <c r="CP233" s="299"/>
      <c r="CQ233" s="299"/>
      <c r="CR233" s="299"/>
      <c r="CS233" s="299"/>
      <c r="CT233" s="299"/>
      <c r="CU233" s="299"/>
      <c r="CV233" s="299"/>
      <c r="CW233" s="299"/>
      <c r="CX233" s="299"/>
      <c r="CY233" s="299"/>
      <c r="CZ233" s="299"/>
      <c r="DA233" s="299"/>
      <c r="DB233" s="299"/>
      <c r="DC233" s="299"/>
      <c r="DD233" s="299"/>
      <c r="DE233" s="299"/>
      <c r="DF233" s="299"/>
      <c r="DG233" s="299"/>
      <c r="DH233" s="299"/>
      <c r="DI233" s="299"/>
      <c r="DJ233" s="299"/>
      <c r="DK233" s="299"/>
      <c r="DL233" s="299"/>
      <c r="DM233" s="299"/>
      <c r="DN233" s="299"/>
      <c r="DO233" s="299"/>
      <c r="DP233" s="299"/>
      <c r="DQ233" s="299"/>
      <c r="DR233" s="299"/>
      <c r="DS233" s="298"/>
      <c r="DT233" s="298"/>
      <c r="DU233" s="298"/>
      <c r="DV233" s="298"/>
      <c r="DW233" s="298"/>
      <c r="DX233" s="298"/>
      <c r="DY233" s="298"/>
      <c r="DZ233" s="298"/>
      <c r="EA233" s="298"/>
      <c r="EB233" s="298"/>
      <c r="EC233" s="298"/>
      <c r="ED233" s="298"/>
      <c r="EE233" s="298"/>
      <c r="EF233" s="298"/>
      <c r="EG233" s="298"/>
    </row>
    <row r="234" spans="49:137" ht="11.75" customHeight="1" x14ac:dyDescent="0.15">
      <c r="AW234" s="298"/>
      <c r="AX234" s="298"/>
      <c r="AY234" s="298"/>
      <c r="AZ234" s="298"/>
      <c r="BA234" s="298"/>
      <c r="BB234" s="298"/>
      <c r="BC234" s="298"/>
      <c r="BD234" s="298"/>
      <c r="BE234" s="298"/>
      <c r="BF234" s="298"/>
      <c r="BG234" s="298"/>
      <c r="BH234" s="298"/>
      <c r="BI234" s="298"/>
      <c r="BJ234" s="298"/>
      <c r="BK234" s="298"/>
      <c r="BL234" s="298"/>
      <c r="BM234" s="298"/>
      <c r="BN234" s="298"/>
      <c r="BO234" s="298"/>
      <c r="BP234" s="298"/>
      <c r="BQ234" s="298"/>
      <c r="BR234" s="298"/>
      <c r="BS234" s="298"/>
      <c r="BT234" s="298"/>
      <c r="BU234" s="298"/>
      <c r="BV234" s="298"/>
      <c r="BW234" s="298"/>
      <c r="BX234" s="299"/>
      <c r="BY234" s="299"/>
      <c r="BZ234" s="299"/>
      <c r="CA234" s="299"/>
      <c r="CB234" s="299"/>
      <c r="CC234" s="299"/>
      <c r="CD234" s="299"/>
      <c r="CE234" s="299"/>
      <c r="CF234" s="299"/>
      <c r="CG234" s="299"/>
      <c r="CH234" s="299"/>
      <c r="CI234" s="299"/>
      <c r="CJ234" s="299"/>
      <c r="CK234" s="299"/>
      <c r="CL234" s="299"/>
      <c r="CM234" s="299"/>
      <c r="CN234" s="299"/>
      <c r="CO234" s="299"/>
      <c r="CP234" s="299"/>
      <c r="CQ234" s="299"/>
      <c r="CR234" s="299"/>
      <c r="CS234" s="299"/>
      <c r="CT234" s="299"/>
      <c r="CU234" s="299"/>
      <c r="CV234" s="299"/>
      <c r="CW234" s="299"/>
      <c r="CX234" s="299"/>
      <c r="CY234" s="299"/>
      <c r="CZ234" s="299"/>
      <c r="DA234" s="299"/>
      <c r="DB234" s="299"/>
      <c r="DC234" s="299"/>
      <c r="DD234" s="299"/>
      <c r="DE234" s="299"/>
      <c r="DF234" s="299"/>
      <c r="DG234" s="299"/>
      <c r="DH234" s="299"/>
      <c r="DI234" s="299"/>
      <c r="DJ234" s="299"/>
      <c r="DK234" s="299"/>
      <c r="DL234" s="299"/>
      <c r="DM234" s="299"/>
      <c r="DN234" s="299"/>
      <c r="DO234" s="299"/>
      <c r="DP234" s="299"/>
      <c r="DQ234" s="299"/>
      <c r="DR234" s="299"/>
      <c r="DS234" s="298"/>
      <c r="DT234" s="298"/>
      <c r="DU234" s="298"/>
      <c r="DV234" s="298"/>
      <c r="DW234" s="298"/>
      <c r="DX234" s="298"/>
      <c r="DY234" s="298"/>
      <c r="DZ234" s="298"/>
      <c r="EA234" s="298"/>
      <c r="EB234" s="298"/>
      <c r="EC234" s="298"/>
      <c r="ED234" s="298"/>
      <c r="EE234" s="298"/>
      <c r="EF234" s="298"/>
      <c r="EG234" s="298"/>
    </row>
    <row r="235" spans="49:137" ht="11.75" customHeight="1" x14ac:dyDescent="0.15">
      <c r="AW235" s="298"/>
      <c r="AX235" s="298"/>
      <c r="AY235" s="298"/>
      <c r="AZ235" s="298"/>
      <c r="BA235" s="298"/>
      <c r="BB235" s="298"/>
      <c r="BC235" s="298"/>
      <c r="BD235" s="298"/>
      <c r="BE235" s="298"/>
      <c r="BF235" s="298"/>
      <c r="BG235" s="298"/>
      <c r="BH235" s="298"/>
      <c r="BI235" s="298"/>
      <c r="BJ235" s="298"/>
      <c r="BK235" s="298"/>
      <c r="BL235" s="298"/>
      <c r="BM235" s="298"/>
      <c r="BN235" s="298"/>
      <c r="BO235" s="298"/>
      <c r="BP235" s="298"/>
      <c r="BQ235" s="298"/>
      <c r="BR235" s="298"/>
      <c r="BS235" s="298"/>
      <c r="BT235" s="298"/>
      <c r="BU235" s="298"/>
      <c r="BV235" s="298"/>
      <c r="BW235" s="298"/>
      <c r="BX235" s="299"/>
      <c r="BY235" s="299"/>
      <c r="BZ235" s="299"/>
      <c r="CA235" s="299"/>
      <c r="CB235" s="299"/>
      <c r="CC235" s="299"/>
      <c r="CD235" s="299"/>
      <c r="CE235" s="299"/>
      <c r="CF235" s="299"/>
      <c r="CG235" s="299"/>
      <c r="CH235" s="299"/>
      <c r="CI235" s="299"/>
      <c r="CJ235" s="299"/>
      <c r="CK235" s="299"/>
      <c r="CL235" s="299"/>
      <c r="CM235" s="299"/>
      <c r="CN235" s="299"/>
      <c r="CO235" s="299"/>
      <c r="CP235" s="299"/>
      <c r="CQ235" s="299"/>
      <c r="CR235" s="299"/>
      <c r="CS235" s="299"/>
      <c r="CT235" s="299"/>
      <c r="CU235" s="299"/>
      <c r="CV235" s="299"/>
      <c r="CW235" s="299"/>
      <c r="CX235" s="299"/>
      <c r="CY235" s="299"/>
      <c r="CZ235" s="299"/>
      <c r="DA235" s="299"/>
      <c r="DB235" s="299"/>
      <c r="DC235" s="299"/>
      <c r="DD235" s="299"/>
      <c r="DE235" s="299"/>
      <c r="DF235" s="299"/>
      <c r="DG235" s="299"/>
      <c r="DH235" s="299"/>
      <c r="DI235" s="299"/>
      <c r="DJ235" s="299"/>
      <c r="DK235" s="299"/>
      <c r="DL235" s="299"/>
      <c r="DM235" s="299"/>
      <c r="DN235" s="299"/>
      <c r="DO235" s="299"/>
      <c r="DP235" s="299"/>
      <c r="DQ235" s="299"/>
      <c r="DR235" s="299"/>
      <c r="DS235" s="298"/>
      <c r="DT235" s="298"/>
      <c r="DU235" s="298"/>
      <c r="DV235" s="298"/>
      <c r="DW235" s="298"/>
      <c r="DX235" s="298"/>
      <c r="DY235" s="298"/>
      <c r="DZ235" s="298"/>
      <c r="EA235" s="298"/>
      <c r="EB235" s="298"/>
      <c r="EC235" s="298"/>
      <c r="ED235" s="298"/>
      <c r="EE235" s="298"/>
      <c r="EF235" s="298"/>
      <c r="EG235" s="298"/>
    </row>
    <row r="236" spans="49:137" ht="11.75" customHeight="1" x14ac:dyDescent="0.15">
      <c r="AW236" s="298"/>
      <c r="AX236" s="298"/>
      <c r="AY236" s="298"/>
      <c r="AZ236" s="298"/>
      <c r="BA236" s="298"/>
      <c r="BB236" s="298"/>
      <c r="BC236" s="298"/>
      <c r="BD236" s="298"/>
      <c r="BE236" s="298"/>
      <c r="BF236" s="298"/>
      <c r="BG236" s="298"/>
      <c r="BH236" s="298"/>
      <c r="BI236" s="298"/>
      <c r="BJ236" s="298"/>
      <c r="BK236" s="298"/>
      <c r="BL236" s="298"/>
      <c r="BM236" s="298"/>
      <c r="BN236" s="298"/>
      <c r="BO236" s="298"/>
      <c r="BP236" s="298"/>
      <c r="BQ236" s="298"/>
      <c r="BR236" s="298"/>
      <c r="BS236" s="298"/>
      <c r="BT236" s="298"/>
      <c r="BU236" s="298"/>
      <c r="BV236" s="298"/>
      <c r="BW236" s="298"/>
      <c r="BX236" s="299"/>
      <c r="BY236" s="299"/>
      <c r="BZ236" s="299"/>
      <c r="CA236" s="299"/>
      <c r="CB236" s="299"/>
      <c r="CC236" s="299"/>
      <c r="CD236" s="299"/>
      <c r="CE236" s="299"/>
      <c r="CF236" s="299"/>
      <c r="CG236" s="299"/>
      <c r="CH236" s="299"/>
      <c r="CI236" s="299"/>
      <c r="CJ236" s="299"/>
      <c r="CK236" s="299"/>
      <c r="CL236" s="299"/>
      <c r="CM236" s="299"/>
      <c r="CN236" s="299"/>
      <c r="CO236" s="299"/>
      <c r="CP236" s="299"/>
      <c r="CQ236" s="299"/>
      <c r="CR236" s="299"/>
      <c r="CS236" s="299"/>
      <c r="CT236" s="299"/>
      <c r="CU236" s="299"/>
      <c r="CV236" s="299"/>
      <c r="CW236" s="299"/>
      <c r="CX236" s="299"/>
      <c r="CY236" s="299"/>
      <c r="CZ236" s="299"/>
      <c r="DA236" s="299"/>
      <c r="DB236" s="299"/>
      <c r="DC236" s="299"/>
      <c r="DD236" s="299"/>
      <c r="DE236" s="299"/>
      <c r="DF236" s="299"/>
      <c r="DG236" s="299"/>
      <c r="DH236" s="299"/>
      <c r="DI236" s="299"/>
      <c r="DJ236" s="299"/>
      <c r="DK236" s="299"/>
      <c r="DL236" s="299"/>
      <c r="DM236" s="299"/>
      <c r="DN236" s="299"/>
      <c r="DO236" s="299"/>
      <c r="DP236" s="299"/>
      <c r="DQ236" s="299"/>
      <c r="DR236" s="299"/>
      <c r="DS236" s="298"/>
      <c r="DT236" s="298"/>
      <c r="DU236" s="298"/>
      <c r="DV236" s="298"/>
      <c r="DW236" s="298"/>
      <c r="DX236" s="298"/>
      <c r="DY236" s="298"/>
      <c r="DZ236" s="298"/>
      <c r="EA236" s="298"/>
      <c r="EB236" s="298"/>
      <c r="EC236" s="298"/>
      <c r="ED236" s="298"/>
      <c r="EE236" s="298"/>
      <c r="EF236" s="298"/>
      <c r="EG236" s="298"/>
    </row>
    <row r="237" spans="49:137" ht="11.75" customHeight="1" x14ac:dyDescent="0.15">
      <c r="AW237" s="298"/>
      <c r="AX237" s="298"/>
      <c r="AY237" s="298"/>
      <c r="AZ237" s="298"/>
      <c r="BA237" s="298"/>
      <c r="BB237" s="298"/>
      <c r="BC237" s="298"/>
      <c r="BD237" s="298"/>
      <c r="BE237" s="298"/>
      <c r="BF237" s="298"/>
      <c r="BG237" s="298"/>
      <c r="BH237" s="298"/>
      <c r="BI237" s="298"/>
      <c r="BJ237" s="298"/>
      <c r="BK237" s="298"/>
      <c r="BL237" s="298"/>
      <c r="BM237" s="298"/>
      <c r="BN237" s="298"/>
      <c r="BO237" s="298"/>
      <c r="BP237" s="298"/>
      <c r="BQ237" s="298"/>
      <c r="BR237" s="298"/>
      <c r="BS237" s="298"/>
      <c r="BT237" s="298"/>
      <c r="BU237" s="298"/>
      <c r="BV237" s="298"/>
      <c r="BW237" s="298"/>
      <c r="BX237" s="299"/>
      <c r="BY237" s="299"/>
      <c r="BZ237" s="299"/>
      <c r="CA237" s="299"/>
      <c r="CB237" s="299"/>
      <c r="CC237" s="299"/>
      <c r="CD237" s="299"/>
      <c r="CE237" s="299"/>
      <c r="CF237" s="299"/>
      <c r="CG237" s="299"/>
      <c r="CH237" s="299"/>
      <c r="CI237" s="299"/>
      <c r="CJ237" s="299"/>
      <c r="CK237" s="299"/>
      <c r="CL237" s="299"/>
      <c r="CM237" s="299"/>
      <c r="CN237" s="299"/>
      <c r="CO237" s="299"/>
      <c r="CP237" s="299"/>
      <c r="CQ237" s="299"/>
      <c r="CR237" s="299"/>
      <c r="CS237" s="299"/>
      <c r="CT237" s="299"/>
      <c r="CU237" s="299"/>
      <c r="CV237" s="299"/>
      <c r="CW237" s="299"/>
      <c r="CX237" s="299"/>
      <c r="CY237" s="299"/>
      <c r="CZ237" s="299"/>
      <c r="DA237" s="299"/>
      <c r="DB237" s="299"/>
      <c r="DC237" s="299"/>
      <c r="DD237" s="299"/>
      <c r="DE237" s="299"/>
      <c r="DF237" s="299"/>
      <c r="DG237" s="299"/>
      <c r="DH237" s="299"/>
      <c r="DI237" s="299"/>
      <c r="DJ237" s="299"/>
      <c r="DK237" s="299"/>
      <c r="DL237" s="299"/>
      <c r="DM237" s="299"/>
      <c r="DN237" s="299"/>
      <c r="DO237" s="299"/>
      <c r="DP237" s="299"/>
      <c r="DQ237" s="299"/>
      <c r="DR237" s="299"/>
      <c r="DS237" s="298"/>
      <c r="DT237" s="298"/>
      <c r="DU237" s="298"/>
      <c r="DV237" s="298"/>
      <c r="DW237" s="298"/>
      <c r="DX237" s="298"/>
      <c r="DY237" s="298"/>
      <c r="DZ237" s="298"/>
      <c r="EA237" s="298"/>
      <c r="EB237" s="298"/>
      <c r="EC237" s="298"/>
      <c r="ED237" s="298"/>
      <c r="EE237" s="298"/>
      <c r="EF237" s="298"/>
      <c r="EG237" s="298"/>
    </row>
    <row r="238" spans="49:137" ht="11.75" customHeight="1" x14ac:dyDescent="0.15">
      <c r="AW238" s="298"/>
      <c r="AX238" s="298"/>
      <c r="AY238" s="298"/>
      <c r="AZ238" s="298"/>
      <c r="BA238" s="298"/>
      <c r="BB238" s="298"/>
      <c r="BC238" s="298"/>
      <c r="BD238" s="298"/>
      <c r="BE238" s="298"/>
      <c r="BF238" s="298"/>
      <c r="BG238" s="298"/>
      <c r="BH238" s="298"/>
      <c r="BI238" s="298"/>
      <c r="BJ238" s="298"/>
      <c r="BK238" s="298"/>
      <c r="BL238" s="298"/>
      <c r="BM238" s="298"/>
      <c r="BN238" s="298"/>
      <c r="BO238" s="298"/>
      <c r="BP238" s="298"/>
      <c r="BQ238" s="298"/>
      <c r="BR238" s="298"/>
      <c r="BS238" s="298"/>
      <c r="BT238" s="298"/>
      <c r="BU238" s="298"/>
      <c r="BV238" s="298"/>
      <c r="BW238" s="298"/>
      <c r="BX238" s="299"/>
      <c r="BY238" s="299"/>
      <c r="BZ238" s="299"/>
      <c r="CA238" s="299"/>
      <c r="CB238" s="299"/>
      <c r="CC238" s="299"/>
      <c r="CD238" s="299"/>
      <c r="CE238" s="299"/>
      <c r="CF238" s="299"/>
      <c r="CG238" s="299"/>
      <c r="CH238" s="299"/>
      <c r="CI238" s="299"/>
      <c r="CJ238" s="299"/>
      <c r="CK238" s="299"/>
      <c r="CL238" s="299"/>
      <c r="CM238" s="299"/>
      <c r="CN238" s="299"/>
      <c r="CO238" s="299"/>
      <c r="CP238" s="299"/>
      <c r="CQ238" s="299"/>
      <c r="CR238" s="299"/>
      <c r="CS238" s="299"/>
      <c r="CT238" s="299"/>
      <c r="CU238" s="299"/>
      <c r="CV238" s="299"/>
      <c r="CW238" s="299"/>
      <c r="CX238" s="299"/>
      <c r="CY238" s="299"/>
      <c r="CZ238" s="299"/>
      <c r="DA238" s="299"/>
      <c r="DB238" s="299"/>
      <c r="DC238" s="299"/>
      <c r="DD238" s="299"/>
      <c r="DE238" s="299"/>
      <c r="DF238" s="299"/>
      <c r="DG238" s="299"/>
      <c r="DH238" s="299"/>
      <c r="DI238" s="299"/>
      <c r="DJ238" s="299"/>
      <c r="DK238" s="299"/>
      <c r="DL238" s="299"/>
      <c r="DM238" s="299"/>
      <c r="DN238" s="299"/>
      <c r="DO238" s="299"/>
      <c r="DP238" s="299"/>
      <c r="DQ238" s="299"/>
      <c r="DR238" s="299"/>
      <c r="DS238" s="298"/>
      <c r="DT238" s="298"/>
      <c r="DU238" s="298"/>
      <c r="DV238" s="298"/>
      <c r="DW238" s="298"/>
      <c r="DX238" s="298"/>
      <c r="DY238" s="298"/>
      <c r="DZ238" s="298"/>
      <c r="EA238" s="298"/>
      <c r="EB238" s="298"/>
      <c r="EC238" s="298"/>
      <c r="ED238" s="298"/>
      <c r="EE238" s="298"/>
      <c r="EF238" s="298"/>
      <c r="EG238" s="298"/>
    </row>
    <row r="239" spans="49:137" ht="11.75" customHeight="1" x14ac:dyDescent="0.15">
      <c r="AW239" s="298"/>
      <c r="AX239" s="298"/>
      <c r="AY239" s="298"/>
      <c r="AZ239" s="298"/>
      <c r="BA239" s="298"/>
      <c r="BB239" s="298"/>
      <c r="BC239" s="298"/>
      <c r="BD239" s="298"/>
      <c r="BE239" s="298"/>
      <c r="BF239" s="298"/>
      <c r="BG239" s="298"/>
      <c r="BH239" s="298"/>
      <c r="BI239" s="298"/>
      <c r="BJ239" s="298"/>
      <c r="BK239" s="298"/>
      <c r="BL239" s="298"/>
      <c r="BM239" s="298"/>
      <c r="BN239" s="298"/>
      <c r="BO239" s="298"/>
      <c r="BP239" s="298"/>
      <c r="BQ239" s="298"/>
      <c r="BR239" s="298"/>
      <c r="BS239" s="298"/>
      <c r="BT239" s="298"/>
      <c r="BU239" s="298"/>
      <c r="BV239" s="298"/>
      <c r="BW239" s="298"/>
      <c r="BX239" s="299"/>
      <c r="BY239" s="299"/>
      <c r="BZ239" s="299"/>
      <c r="CA239" s="299"/>
      <c r="CB239" s="299"/>
      <c r="CC239" s="299"/>
      <c r="CD239" s="299"/>
      <c r="CE239" s="299"/>
      <c r="CF239" s="299"/>
      <c r="CG239" s="299"/>
      <c r="CH239" s="299"/>
      <c r="CI239" s="299"/>
      <c r="CJ239" s="299"/>
      <c r="CK239" s="299"/>
      <c r="CL239" s="299"/>
      <c r="CM239" s="299"/>
      <c r="CN239" s="299"/>
      <c r="CO239" s="299"/>
      <c r="CP239" s="299"/>
      <c r="CQ239" s="299"/>
      <c r="CR239" s="299"/>
      <c r="CS239" s="299"/>
      <c r="CT239" s="299"/>
      <c r="CU239" s="299"/>
      <c r="CV239" s="299"/>
      <c r="CW239" s="299"/>
      <c r="CX239" s="299"/>
      <c r="CY239" s="299"/>
      <c r="CZ239" s="299"/>
      <c r="DA239" s="299"/>
      <c r="DB239" s="299"/>
      <c r="DC239" s="299"/>
      <c r="DD239" s="299"/>
      <c r="DE239" s="299"/>
      <c r="DF239" s="299"/>
      <c r="DG239" s="299"/>
      <c r="DH239" s="299"/>
      <c r="DI239" s="299"/>
      <c r="DJ239" s="299"/>
      <c r="DK239" s="299"/>
      <c r="DL239" s="299"/>
      <c r="DM239" s="299"/>
      <c r="DN239" s="299"/>
      <c r="DO239" s="299"/>
      <c r="DP239" s="299"/>
      <c r="DQ239" s="299"/>
      <c r="DR239" s="299"/>
      <c r="DS239" s="298"/>
      <c r="DT239" s="298"/>
      <c r="DU239" s="298"/>
      <c r="DV239" s="298"/>
      <c r="DW239" s="298"/>
      <c r="DX239" s="298"/>
      <c r="DY239" s="298"/>
      <c r="DZ239" s="298"/>
      <c r="EA239" s="298"/>
      <c r="EB239" s="298"/>
      <c r="EC239" s="298"/>
      <c r="ED239" s="298"/>
      <c r="EE239" s="298"/>
      <c r="EF239" s="298"/>
      <c r="EG239" s="298"/>
    </row>
    <row r="240" spans="49:137" ht="11.75" customHeight="1" x14ac:dyDescent="0.15">
      <c r="AW240" s="298"/>
      <c r="AX240" s="298"/>
      <c r="AY240" s="298"/>
      <c r="AZ240" s="298"/>
      <c r="BA240" s="298"/>
      <c r="BB240" s="298"/>
      <c r="BC240" s="298"/>
      <c r="BD240" s="298"/>
      <c r="BE240" s="298"/>
      <c r="BF240" s="298"/>
      <c r="BG240" s="298"/>
      <c r="BH240" s="298"/>
      <c r="BI240" s="298"/>
      <c r="BJ240" s="298"/>
      <c r="BK240" s="298"/>
      <c r="BL240" s="298"/>
      <c r="BM240" s="298"/>
      <c r="BN240" s="298"/>
      <c r="BO240" s="298"/>
      <c r="BP240" s="298"/>
      <c r="BQ240" s="298"/>
      <c r="BR240" s="298"/>
      <c r="BS240" s="298"/>
      <c r="BT240" s="298"/>
      <c r="BU240" s="298"/>
      <c r="BV240" s="298"/>
      <c r="BW240" s="298"/>
      <c r="BX240" s="299"/>
      <c r="BY240" s="299"/>
      <c r="BZ240" s="299"/>
      <c r="CA240" s="299"/>
      <c r="CB240" s="299"/>
      <c r="CC240" s="299"/>
      <c r="CD240" s="299"/>
      <c r="CE240" s="299"/>
      <c r="CF240" s="299"/>
      <c r="CG240" s="299"/>
      <c r="CH240" s="299"/>
      <c r="CI240" s="299"/>
      <c r="CJ240" s="299"/>
      <c r="CK240" s="299"/>
      <c r="CL240" s="299"/>
      <c r="CM240" s="299"/>
      <c r="CN240" s="299"/>
      <c r="CO240" s="299"/>
      <c r="CP240" s="299"/>
      <c r="CQ240" s="299"/>
      <c r="CR240" s="299"/>
      <c r="CS240" s="299"/>
      <c r="CT240" s="299"/>
      <c r="CU240" s="299"/>
      <c r="CV240" s="299"/>
      <c r="CW240" s="299"/>
      <c r="CX240" s="299"/>
      <c r="CY240" s="299"/>
      <c r="CZ240" s="299"/>
      <c r="DA240" s="299"/>
      <c r="DB240" s="299"/>
      <c r="DC240" s="299"/>
      <c r="DD240" s="299"/>
      <c r="DE240" s="299"/>
      <c r="DF240" s="299"/>
      <c r="DG240" s="299"/>
      <c r="DH240" s="299"/>
      <c r="DI240" s="299"/>
      <c r="DJ240" s="299"/>
      <c r="DK240" s="299"/>
      <c r="DL240" s="299"/>
      <c r="DM240" s="299"/>
      <c r="DN240" s="299"/>
      <c r="DO240" s="299"/>
      <c r="DP240" s="299"/>
      <c r="DQ240" s="299"/>
      <c r="DR240" s="299"/>
      <c r="DS240" s="298"/>
      <c r="DT240" s="298"/>
      <c r="DU240" s="298"/>
      <c r="DV240" s="298"/>
      <c r="DW240" s="298"/>
      <c r="DX240" s="298"/>
      <c r="DY240" s="298"/>
      <c r="DZ240" s="298"/>
      <c r="EA240" s="298"/>
      <c r="EB240" s="298"/>
      <c r="EC240" s="298"/>
      <c r="ED240" s="298"/>
      <c r="EE240" s="298"/>
      <c r="EF240" s="298"/>
      <c r="EG240" s="298"/>
    </row>
    <row r="241" spans="49:137" ht="11.75" customHeight="1" x14ac:dyDescent="0.15">
      <c r="AW241" s="298"/>
      <c r="AX241" s="298"/>
      <c r="AY241" s="298"/>
      <c r="AZ241" s="298"/>
      <c r="BA241" s="298"/>
      <c r="BB241" s="298"/>
      <c r="BC241" s="298"/>
      <c r="BD241" s="298"/>
      <c r="BE241" s="298"/>
      <c r="BF241" s="298"/>
      <c r="BG241" s="298"/>
      <c r="BH241" s="298"/>
      <c r="BI241" s="298"/>
      <c r="BJ241" s="298"/>
      <c r="BK241" s="298"/>
      <c r="BL241" s="298"/>
      <c r="BM241" s="298"/>
      <c r="BN241" s="298"/>
      <c r="BO241" s="298"/>
      <c r="BP241" s="298"/>
      <c r="BQ241" s="298"/>
      <c r="BR241" s="298"/>
      <c r="BS241" s="298"/>
      <c r="BT241" s="298"/>
      <c r="BU241" s="298"/>
      <c r="BV241" s="298"/>
      <c r="BW241" s="298"/>
      <c r="BX241" s="299"/>
      <c r="BY241" s="299"/>
      <c r="BZ241" s="299"/>
      <c r="CA241" s="299"/>
      <c r="CB241" s="299"/>
      <c r="CC241" s="299"/>
      <c r="CD241" s="299"/>
      <c r="CE241" s="299"/>
      <c r="CF241" s="299"/>
      <c r="CG241" s="299"/>
      <c r="CH241" s="299"/>
      <c r="CI241" s="299"/>
      <c r="CJ241" s="299"/>
      <c r="CK241" s="299"/>
      <c r="CL241" s="299"/>
      <c r="CM241" s="299"/>
      <c r="CN241" s="299"/>
      <c r="CO241" s="299"/>
      <c r="CP241" s="299"/>
      <c r="CQ241" s="299"/>
      <c r="CR241" s="299"/>
      <c r="CS241" s="299"/>
      <c r="CT241" s="299"/>
      <c r="CU241" s="299"/>
      <c r="CV241" s="299"/>
      <c r="CW241" s="299"/>
      <c r="CX241" s="299"/>
      <c r="CY241" s="299"/>
      <c r="CZ241" s="299"/>
      <c r="DA241" s="299"/>
      <c r="DB241" s="299"/>
      <c r="DC241" s="299"/>
      <c r="DD241" s="299"/>
      <c r="DE241" s="299"/>
      <c r="DF241" s="299"/>
      <c r="DG241" s="299"/>
      <c r="DH241" s="299"/>
      <c r="DI241" s="299"/>
      <c r="DJ241" s="299"/>
      <c r="DK241" s="299"/>
      <c r="DL241" s="299"/>
      <c r="DM241" s="299"/>
      <c r="DN241" s="299"/>
      <c r="DO241" s="299"/>
      <c r="DP241" s="299"/>
      <c r="DQ241" s="299"/>
      <c r="DR241" s="299"/>
      <c r="DS241" s="298"/>
      <c r="DT241" s="298"/>
      <c r="DU241" s="298"/>
      <c r="DV241" s="298"/>
      <c r="DW241" s="298"/>
      <c r="DX241" s="298"/>
      <c r="DY241" s="298"/>
      <c r="DZ241" s="298"/>
      <c r="EA241" s="298"/>
      <c r="EB241" s="298"/>
      <c r="EC241" s="298"/>
      <c r="ED241" s="298"/>
      <c r="EE241" s="298"/>
      <c r="EF241" s="298"/>
      <c r="EG241" s="298"/>
    </row>
    <row r="242" spans="49:137" ht="11.75" customHeight="1" x14ac:dyDescent="0.15">
      <c r="AW242" s="298"/>
      <c r="AX242" s="298"/>
      <c r="AY242" s="298"/>
      <c r="AZ242" s="298"/>
      <c r="BA242" s="298"/>
      <c r="BB242" s="298"/>
      <c r="BC242" s="298"/>
      <c r="BD242" s="298"/>
      <c r="BE242" s="298"/>
      <c r="BF242" s="298"/>
      <c r="BG242" s="298"/>
      <c r="BH242" s="298"/>
      <c r="BI242" s="298"/>
      <c r="BJ242" s="298"/>
      <c r="BK242" s="298"/>
      <c r="BL242" s="298"/>
      <c r="BM242" s="298"/>
      <c r="BN242" s="298"/>
      <c r="BO242" s="298"/>
      <c r="BP242" s="298"/>
      <c r="BQ242" s="298"/>
      <c r="BR242" s="298"/>
      <c r="BS242" s="298"/>
      <c r="BT242" s="298"/>
      <c r="BU242" s="298"/>
      <c r="BV242" s="298"/>
      <c r="BW242" s="298"/>
      <c r="BX242" s="299"/>
      <c r="BY242" s="299"/>
      <c r="BZ242" s="299"/>
      <c r="CA242" s="299"/>
      <c r="CB242" s="299"/>
      <c r="CC242" s="299"/>
      <c r="CD242" s="299"/>
      <c r="CE242" s="299"/>
      <c r="CF242" s="299"/>
      <c r="CG242" s="299"/>
      <c r="CH242" s="299"/>
      <c r="CI242" s="299"/>
      <c r="CJ242" s="299"/>
      <c r="CK242" s="299"/>
      <c r="CL242" s="299"/>
      <c r="CM242" s="299"/>
      <c r="CN242" s="299"/>
      <c r="CO242" s="299"/>
      <c r="CP242" s="299"/>
      <c r="CQ242" s="299"/>
      <c r="CR242" s="299"/>
      <c r="CS242" s="299"/>
      <c r="CT242" s="299"/>
      <c r="CU242" s="299"/>
      <c r="CV242" s="299"/>
      <c r="CW242" s="299"/>
      <c r="CX242" s="299"/>
      <c r="CY242" s="299"/>
      <c r="CZ242" s="299"/>
      <c r="DA242" s="299"/>
      <c r="DB242" s="299"/>
      <c r="DC242" s="299"/>
      <c r="DD242" s="299"/>
      <c r="DE242" s="299"/>
      <c r="DF242" s="299"/>
      <c r="DG242" s="299"/>
      <c r="DH242" s="299"/>
      <c r="DI242" s="299"/>
      <c r="DJ242" s="299"/>
      <c r="DK242" s="299"/>
      <c r="DL242" s="299"/>
      <c r="DM242" s="299"/>
      <c r="DN242" s="299"/>
      <c r="DO242" s="299"/>
      <c r="DP242" s="299"/>
      <c r="DQ242" s="299"/>
      <c r="DR242" s="299"/>
      <c r="DS242" s="298"/>
      <c r="DT242" s="298"/>
      <c r="DU242" s="298"/>
      <c r="DV242" s="298"/>
      <c r="DW242" s="298"/>
      <c r="DX242" s="298"/>
      <c r="DY242" s="298"/>
      <c r="DZ242" s="298"/>
      <c r="EA242" s="298"/>
      <c r="EB242" s="298"/>
      <c r="EC242" s="298"/>
      <c r="ED242" s="298"/>
      <c r="EE242" s="298"/>
      <c r="EF242" s="298"/>
      <c r="EG242" s="298"/>
    </row>
    <row r="243" spans="49:137" ht="11.75" customHeight="1" x14ac:dyDescent="0.15">
      <c r="AW243" s="298"/>
      <c r="AX243" s="298"/>
      <c r="AY243" s="298"/>
      <c r="AZ243" s="298"/>
      <c r="BA243" s="298"/>
      <c r="BB243" s="298"/>
      <c r="BC243" s="298"/>
      <c r="BD243" s="298"/>
      <c r="BE243" s="298"/>
      <c r="BF243" s="298"/>
      <c r="BG243" s="298"/>
      <c r="BH243" s="298"/>
      <c r="BI243" s="298"/>
      <c r="BJ243" s="298"/>
      <c r="BK243" s="298"/>
      <c r="BL243" s="298"/>
      <c r="BM243" s="298"/>
      <c r="BN243" s="298"/>
      <c r="BO243" s="298"/>
      <c r="BP243" s="298"/>
      <c r="BQ243" s="298"/>
      <c r="BR243" s="298"/>
      <c r="BS243" s="298"/>
      <c r="BT243" s="298"/>
      <c r="BU243" s="298"/>
      <c r="BV243" s="298"/>
      <c r="BW243" s="298"/>
      <c r="BX243" s="299"/>
      <c r="BY243" s="299"/>
      <c r="BZ243" s="299"/>
      <c r="CA243" s="299"/>
      <c r="CB243" s="299"/>
      <c r="CC243" s="299"/>
      <c r="CD243" s="299"/>
      <c r="CE243" s="299"/>
      <c r="CF243" s="299"/>
      <c r="CG243" s="299"/>
      <c r="CH243" s="299"/>
      <c r="CI243" s="299"/>
      <c r="CJ243" s="299"/>
      <c r="CK243" s="299"/>
      <c r="CL243" s="299"/>
      <c r="CM243" s="299"/>
      <c r="CN243" s="299"/>
      <c r="CO243" s="299"/>
      <c r="CP243" s="299"/>
      <c r="CQ243" s="299"/>
      <c r="CR243" s="299"/>
      <c r="CS243" s="299"/>
      <c r="CT243" s="299"/>
      <c r="CU243" s="299"/>
      <c r="CV243" s="299"/>
      <c r="CW243" s="299"/>
      <c r="CX243" s="299"/>
      <c r="CY243" s="299"/>
      <c r="CZ243" s="299"/>
      <c r="DA243" s="299"/>
      <c r="DB243" s="299"/>
      <c r="DC243" s="299"/>
      <c r="DD243" s="299"/>
      <c r="DE243" s="299"/>
      <c r="DF243" s="299"/>
      <c r="DG243" s="299"/>
      <c r="DH243" s="299"/>
      <c r="DI243" s="299"/>
      <c r="DJ243" s="299"/>
      <c r="DK243" s="299"/>
      <c r="DL243" s="299"/>
      <c r="DM243" s="299"/>
      <c r="DN243" s="299"/>
      <c r="DO243" s="299"/>
      <c r="DP243" s="299"/>
      <c r="DQ243" s="299"/>
      <c r="DR243" s="299"/>
      <c r="DS243" s="298"/>
      <c r="DT243" s="298"/>
      <c r="DU243" s="298"/>
      <c r="DV243" s="298"/>
      <c r="DW243" s="298"/>
      <c r="DX243" s="298"/>
      <c r="DY243" s="298"/>
      <c r="DZ243" s="298"/>
      <c r="EA243" s="298"/>
      <c r="EB243" s="298"/>
      <c r="EC243" s="298"/>
      <c r="ED243" s="298"/>
      <c r="EE243" s="298"/>
      <c r="EF243" s="298"/>
      <c r="EG243" s="298"/>
    </row>
    <row r="244" spans="49:137" ht="11.75" customHeight="1" x14ac:dyDescent="0.15">
      <c r="AW244" s="298"/>
      <c r="AX244" s="298"/>
      <c r="AY244" s="298"/>
      <c r="AZ244" s="298"/>
      <c r="BA244" s="298"/>
      <c r="BB244" s="298"/>
      <c r="BC244" s="298"/>
      <c r="BD244" s="298"/>
      <c r="BE244" s="298"/>
      <c r="BF244" s="298"/>
      <c r="BG244" s="298"/>
      <c r="BH244" s="298"/>
      <c r="BI244" s="298"/>
      <c r="BJ244" s="298"/>
      <c r="BK244" s="298"/>
      <c r="BL244" s="298"/>
      <c r="BM244" s="298"/>
      <c r="BN244" s="298"/>
      <c r="BO244" s="298"/>
      <c r="BP244" s="298"/>
      <c r="BQ244" s="298"/>
      <c r="BR244" s="298"/>
      <c r="BS244" s="298"/>
      <c r="BT244" s="298"/>
      <c r="BU244" s="298"/>
      <c r="BV244" s="298"/>
      <c r="BW244" s="298"/>
      <c r="BX244" s="299"/>
      <c r="BY244" s="299"/>
      <c r="BZ244" s="299"/>
      <c r="CA244" s="299"/>
      <c r="CB244" s="299"/>
      <c r="CC244" s="299"/>
      <c r="CD244" s="299"/>
      <c r="CE244" s="299"/>
      <c r="CF244" s="299"/>
      <c r="CG244" s="299"/>
      <c r="CH244" s="299"/>
      <c r="CI244" s="299"/>
      <c r="CJ244" s="299"/>
      <c r="CK244" s="299"/>
      <c r="CL244" s="299"/>
      <c r="CM244" s="299"/>
      <c r="CN244" s="299"/>
      <c r="CO244" s="299"/>
      <c r="CP244" s="299"/>
      <c r="CQ244" s="299"/>
      <c r="CR244" s="299"/>
      <c r="CS244" s="299"/>
      <c r="CT244" s="299"/>
      <c r="CU244" s="299"/>
      <c r="CV244" s="299"/>
      <c r="CW244" s="299"/>
      <c r="CX244" s="299"/>
      <c r="CY244" s="299"/>
      <c r="CZ244" s="299"/>
      <c r="DA244" s="299"/>
      <c r="DB244" s="299"/>
      <c r="DC244" s="299"/>
      <c r="DD244" s="299"/>
      <c r="DE244" s="299"/>
      <c r="DF244" s="299"/>
      <c r="DG244" s="299"/>
      <c r="DH244" s="299"/>
      <c r="DI244" s="299"/>
      <c r="DJ244" s="299"/>
      <c r="DK244" s="299"/>
      <c r="DL244" s="299"/>
      <c r="DM244" s="299"/>
      <c r="DN244" s="299"/>
      <c r="DO244" s="299"/>
      <c r="DP244" s="299"/>
      <c r="DQ244" s="299"/>
      <c r="DR244" s="299"/>
      <c r="DS244" s="298"/>
      <c r="DT244" s="298"/>
      <c r="DU244" s="298"/>
      <c r="DV244" s="298"/>
      <c r="DW244" s="298"/>
      <c r="DX244" s="298"/>
      <c r="DY244" s="298"/>
      <c r="DZ244" s="298"/>
      <c r="EA244" s="298"/>
      <c r="EB244" s="298"/>
      <c r="EC244" s="298"/>
      <c r="ED244" s="298"/>
      <c r="EE244" s="298"/>
      <c r="EF244" s="298"/>
      <c r="EG244" s="298"/>
    </row>
    <row r="245" spans="49:137" ht="11.75" customHeight="1" x14ac:dyDescent="0.15">
      <c r="AW245" s="298"/>
      <c r="AX245" s="298"/>
      <c r="AY245" s="298"/>
      <c r="AZ245" s="298"/>
      <c r="BA245" s="298"/>
      <c r="BB245" s="298"/>
      <c r="BC245" s="298"/>
      <c r="BD245" s="298"/>
      <c r="BE245" s="298"/>
      <c r="BF245" s="298"/>
      <c r="BG245" s="298"/>
      <c r="BH245" s="298"/>
      <c r="BI245" s="298"/>
      <c r="BJ245" s="298"/>
      <c r="BK245" s="298"/>
      <c r="BL245" s="298"/>
      <c r="BM245" s="298"/>
      <c r="BN245" s="298"/>
      <c r="BO245" s="298"/>
      <c r="BP245" s="298"/>
      <c r="BQ245" s="298"/>
      <c r="BR245" s="298"/>
      <c r="BS245" s="298"/>
      <c r="BT245" s="298"/>
      <c r="BU245" s="298"/>
      <c r="BV245" s="298"/>
      <c r="BW245" s="298"/>
      <c r="BX245" s="299"/>
      <c r="BY245" s="299"/>
      <c r="BZ245" s="299"/>
      <c r="CA245" s="299"/>
      <c r="CB245" s="299"/>
      <c r="CC245" s="299"/>
      <c r="CD245" s="299"/>
      <c r="CE245" s="299"/>
      <c r="CF245" s="299"/>
      <c r="CG245" s="299"/>
      <c r="CH245" s="299"/>
      <c r="CI245" s="299"/>
      <c r="CJ245" s="299"/>
      <c r="CK245" s="299"/>
      <c r="CL245" s="299"/>
      <c r="CM245" s="299"/>
      <c r="CN245" s="299"/>
      <c r="CO245" s="299"/>
      <c r="CP245" s="299"/>
      <c r="CQ245" s="299"/>
      <c r="CR245" s="299"/>
      <c r="CS245" s="299"/>
      <c r="CT245" s="299"/>
      <c r="CU245" s="299"/>
      <c r="CV245" s="299"/>
      <c r="CW245" s="299"/>
      <c r="CX245" s="299"/>
      <c r="CY245" s="299"/>
      <c r="CZ245" s="299"/>
      <c r="DA245" s="299"/>
      <c r="DB245" s="299"/>
      <c r="DC245" s="299"/>
      <c r="DD245" s="299"/>
      <c r="DE245" s="299"/>
      <c r="DF245" s="299"/>
      <c r="DG245" s="299"/>
      <c r="DH245" s="299"/>
      <c r="DI245" s="299"/>
      <c r="DJ245" s="299"/>
      <c r="DK245" s="299"/>
      <c r="DL245" s="299"/>
      <c r="DM245" s="299"/>
      <c r="DN245" s="299"/>
      <c r="DO245" s="299"/>
      <c r="DP245" s="299"/>
      <c r="DQ245" s="299"/>
      <c r="DR245" s="299"/>
      <c r="DS245" s="298"/>
      <c r="DT245" s="298"/>
      <c r="DU245" s="298"/>
      <c r="DV245" s="298"/>
      <c r="DW245" s="298"/>
      <c r="DX245" s="298"/>
      <c r="DY245" s="298"/>
      <c r="DZ245" s="298"/>
      <c r="EA245" s="298"/>
      <c r="EB245" s="298"/>
      <c r="EC245" s="298"/>
      <c r="ED245" s="298"/>
      <c r="EE245" s="298"/>
      <c r="EF245" s="298"/>
      <c r="EG245" s="298"/>
    </row>
    <row r="246" spans="49:137" ht="11.75" customHeight="1" x14ac:dyDescent="0.15">
      <c r="AW246" s="298"/>
      <c r="AX246" s="298"/>
      <c r="AY246" s="298"/>
      <c r="AZ246" s="298"/>
      <c r="BA246" s="298"/>
      <c r="BB246" s="298"/>
      <c r="BC246" s="298"/>
      <c r="BD246" s="298"/>
      <c r="BE246" s="298"/>
      <c r="BF246" s="298"/>
      <c r="BG246" s="298"/>
      <c r="BH246" s="298"/>
      <c r="BI246" s="298"/>
      <c r="BJ246" s="298"/>
      <c r="BK246" s="298"/>
      <c r="BL246" s="298"/>
      <c r="BM246" s="298"/>
      <c r="BN246" s="298"/>
      <c r="BO246" s="298"/>
      <c r="BP246" s="298"/>
      <c r="BQ246" s="298"/>
      <c r="BR246" s="298"/>
      <c r="BS246" s="298"/>
      <c r="BT246" s="298"/>
      <c r="BU246" s="298"/>
      <c r="BV246" s="298"/>
      <c r="BW246" s="298"/>
      <c r="BX246" s="299"/>
      <c r="BY246" s="299"/>
      <c r="BZ246" s="299"/>
      <c r="CA246" s="299"/>
      <c r="CB246" s="299"/>
      <c r="CC246" s="299"/>
      <c r="CD246" s="299"/>
      <c r="CE246" s="299"/>
      <c r="CF246" s="299"/>
      <c r="CG246" s="299"/>
      <c r="CH246" s="299"/>
      <c r="CI246" s="299"/>
      <c r="CJ246" s="299"/>
      <c r="CK246" s="299"/>
      <c r="CL246" s="299"/>
      <c r="CM246" s="299"/>
      <c r="CN246" s="299"/>
      <c r="CO246" s="299"/>
      <c r="CP246" s="299"/>
      <c r="CQ246" s="299"/>
      <c r="CR246" s="299"/>
      <c r="CS246" s="299"/>
      <c r="CT246" s="299"/>
      <c r="CU246" s="299"/>
      <c r="CV246" s="299"/>
      <c r="CW246" s="299"/>
      <c r="CX246" s="299"/>
      <c r="CY246" s="299"/>
      <c r="CZ246" s="299"/>
      <c r="DA246" s="299"/>
      <c r="DB246" s="299"/>
      <c r="DC246" s="299"/>
      <c r="DD246" s="299"/>
      <c r="DE246" s="299"/>
      <c r="DF246" s="299"/>
      <c r="DG246" s="299"/>
      <c r="DH246" s="299"/>
      <c r="DI246" s="299"/>
      <c r="DJ246" s="299"/>
      <c r="DK246" s="299"/>
      <c r="DL246" s="299"/>
      <c r="DM246" s="299"/>
      <c r="DN246" s="299"/>
      <c r="DO246" s="299"/>
      <c r="DP246" s="299"/>
      <c r="DQ246" s="299"/>
      <c r="DR246" s="299"/>
      <c r="DS246" s="298"/>
      <c r="DT246" s="298"/>
      <c r="DU246" s="298"/>
      <c r="DV246" s="298"/>
      <c r="DW246" s="298"/>
      <c r="DX246" s="298"/>
      <c r="DY246" s="298"/>
      <c r="DZ246" s="298"/>
      <c r="EA246" s="298"/>
      <c r="EB246" s="298"/>
      <c r="EC246" s="298"/>
      <c r="ED246" s="298"/>
      <c r="EE246" s="298"/>
      <c r="EF246" s="298"/>
      <c r="EG246" s="298"/>
    </row>
    <row r="247" spans="49:137" ht="11.75" customHeight="1" x14ac:dyDescent="0.15">
      <c r="AW247" s="298"/>
      <c r="AX247" s="298"/>
      <c r="AY247" s="298"/>
      <c r="AZ247" s="298"/>
      <c r="BA247" s="298"/>
      <c r="BB247" s="298"/>
      <c r="BC247" s="298"/>
      <c r="BD247" s="298"/>
      <c r="BE247" s="298"/>
      <c r="BF247" s="298"/>
      <c r="BG247" s="298"/>
      <c r="BH247" s="298"/>
      <c r="BI247" s="298"/>
      <c r="BJ247" s="298"/>
      <c r="BK247" s="298"/>
      <c r="BL247" s="298"/>
      <c r="BM247" s="298"/>
      <c r="BN247" s="298"/>
      <c r="BO247" s="298"/>
      <c r="BP247" s="298"/>
      <c r="BQ247" s="298"/>
      <c r="BR247" s="298"/>
      <c r="BS247" s="298"/>
      <c r="BT247" s="298"/>
      <c r="BU247" s="298"/>
      <c r="BV247" s="298"/>
      <c r="BW247" s="298"/>
      <c r="BX247" s="299"/>
      <c r="BY247" s="299"/>
      <c r="BZ247" s="299"/>
      <c r="CA247" s="299"/>
      <c r="CB247" s="299"/>
      <c r="CC247" s="299"/>
      <c r="CD247" s="299"/>
      <c r="CE247" s="299"/>
      <c r="CF247" s="299"/>
      <c r="CG247" s="299"/>
      <c r="CH247" s="299"/>
      <c r="CI247" s="299"/>
      <c r="CJ247" s="299"/>
      <c r="CK247" s="299"/>
      <c r="CL247" s="299"/>
      <c r="CM247" s="299"/>
      <c r="CN247" s="299"/>
      <c r="CO247" s="299"/>
      <c r="CP247" s="299"/>
      <c r="CQ247" s="299"/>
      <c r="CR247" s="299"/>
      <c r="CS247" s="299"/>
      <c r="CT247" s="299"/>
      <c r="CU247" s="299"/>
      <c r="CV247" s="299"/>
      <c r="CW247" s="299"/>
      <c r="CX247" s="299"/>
      <c r="CY247" s="299"/>
      <c r="CZ247" s="299"/>
      <c r="DA247" s="299"/>
      <c r="DB247" s="299"/>
      <c r="DC247" s="299"/>
      <c r="DD247" s="299"/>
      <c r="DE247" s="299"/>
      <c r="DF247" s="299"/>
      <c r="DG247" s="299"/>
      <c r="DH247" s="299"/>
      <c r="DI247" s="299"/>
      <c r="DJ247" s="299"/>
      <c r="DK247" s="299"/>
      <c r="DL247" s="299"/>
      <c r="DM247" s="299"/>
      <c r="DN247" s="299"/>
      <c r="DO247" s="299"/>
      <c r="DP247" s="299"/>
      <c r="DQ247" s="299"/>
      <c r="DR247" s="299"/>
      <c r="DS247" s="298"/>
      <c r="DT247" s="298"/>
      <c r="DU247" s="298"/>
      <c r="DV247" s="298"/>
      <c r="DW247" s="298"/>
      <c r="DX247" s="298"/>
      <c r="DY247" s="298"/>
      <c r="DZ247" s="298"/>
      <c r="EA247" s="298"/>
      <c r="EB247" s="298"/>
      <c r="EC247" s="298"/>
      <c r="ED247" s="298"/>
      <c r="EE247" s="298"/>
      <c r="EF247" s="298"/>
      <c r="EG247" s="298"/>
    </row>
    <row r="248" spans="49:137" ht="11.75" customHeight="1" x14ac:dyDescent="0.15">
      <c r="AW248" s="298"/>
      <c r="AX248" s="298"/>
      <c r="AY248" s="298"/>
      <c r="AZ248" s="298"/>
      <c r="BA248" s="298"/>
      <c r="BB248" s="298"/>
      <c r="BC248" s="298"/>
      <c r="BD248" s="298"/>
      <c r="BE248" s="298"/>
      <c r="BF248" s="298"/>
      <c r="BG248" s="298"/>
      <c r="BH248" s="298"/>
      <c r="BI248" s="298"/>
      <c r="BJ248" s="298"/>
      <c r="BK248" s="298"/>
      <c r="BL248" s="298"/>
      <c r="BM248" s="298"/>
      <c r="BN248" s="298"/>
      <c r="BO248" s="298"/>
      <c r="BP248" s="298"/>
      <c r="BQ248" s="298"/>
      <c r="BR248" s="298"/>
      <c r="BS248" s="298"/>
      <c r="BT248" s="298"/>
      <c r="BU248" s="298"/>
      <c r="BV248" s="298"/>
      <c r="BW248" s="298"/>
      <c r="BX248" s="299"/>
      <c r="BY248" s="299"/>
      <c r="BZ248" s="299"/>
      <c r="CA248" s="299"/>
      <c r="CB248" s="299"/>
      <c r="CC248" s="299"/>
      <c r="CD248" s="299"/>
      <c r="CE248" s="299"/>
      <c r="CF248" s="299"/>
      <c r="CG248" s="299"/>
      <c r="CH248" s="299"/>
      <c r="CI248" s="299"/>
      <c r="CJ248" s="299"/>
      <c r="CK248" s="299"/>
      <c r="CL248" s="299"/>
      <c r="CM248" s="299"/>
      <c r="CN248" s="299"/>
      <c r="CO248" s="299"/>
      <c r="CP248" s="299"/>
      <c r="CQ248" s="299"/>
      <c r="CR248" s="299"/>
      <c r="CS248" s="299"/>
      <c r="CT248" s="299"/>
      <c r="CU248" s="299"/>
      <c r="CV248" s="299"/>
      <c r="CW248" s="299"/>
      <c r="CX248" s="299"/>
      <c r="CY248" s="299"/>
      <c r="CZ248" s="299"/>
      <c r="DA248" s="299"/>
      <c r="DB248" s="299"/>
      <c r="DC248" s="299"/>
      <c r="DD248" s="299"/>
      <c r="DE248" s="299"/>
      <c r="DF248" s="299"/>
      <c r="DG248" s="299"/>
      <c r="DH248" s="299"/>
      <c r="DI248" s="299"/>
      <c r="DJ248" s="299"/>
      <c r="DK248" s="299"/>
      <c r="DL248" s="299"/>
      <c r="DM248" s="299"/>
      <c r="DN248" s="299"/>
      <c r="DO248" s="299"/>
      <c r="DP248" s="299"/>
      <c r="DQ248" s="299"/>
      <c r="DR248" s="299"/>
      <c r="DS248" s="298"/>
      <c r="DT248" s="298"/>
      <c r="DU248" s="298"/>
      <c r="DV248" s="298"/>
      <c r="DW248" s="298"/>
      <c r="DX248" s="298"/>
      <c r="DY248" s="298"/>
      <c r="DZ248" s="298"/>
      <c r="EA248" s="298"/>
      <c r="EB248" s="298"/>
      <c r="EC248" s="298"/>
      <c r="ED248" s="298"/>
      <c r="EE248" s="298"/>
      <c r="EF248" s="298"/>
      <c r="EG248" s="298"/>
    </row>
    <row r="249" spans="49:137" ht="11.75" customHeight="1" x14ac:dyDescent="0.15">
      <c r="AW249" s="298"/>
      <c r="AX249" s="298"/>
      <c r="AY249" s="298"/>
      <c r="AZ249" s="298"/>
      <c r="BA249" s="298"/>
      <c r="BB249" s="298"/>
      <c r="BC249" s="298"/>
      <c r="BD249" s="298"/>
      <c r="BE249" s="298"/>
      <c r="BF249" s="298"/>
      <c r="BG249" s="298"/>
      <c r="BH249" s="298"/>
      <c r="BI249" s="298"/>
      <c r="BJ249" s="298"/>
      <c r="BK249" s="298"/>
      <c r="BL249" s="298"/>
      <c r="BM249" s="298"/>
      <c r="BN249" s="298"/>
      <c r="BO249" s="298"/>
      <c r="BP249" s="298"/>
      <c r="BQ249" s="298"/>
      <c r="BR249" s="298"/>
      <c r="BS249" s="298"/>
      <c r="BT249" s="298"/>
      <c r="BU249" s="298"/>
      <c r="BV249" s="298"/>
      <c r="BW249" s="298"/>
      <c r="BX249" s="299"/>
      <c r="BY249" s="299"/>
      <c r="BZ249" s="299"/>
      <c r="CA249" s="299"/>
      <c r="CB249" s="299"/>
      <c r="CC249" s="299"/>
      <c r="CD249" s="299"/>
      <c r="CE249" s="299"/>
      <c r="CF249" s="299"/>
      <c r="CG249" s="299"/>
      <c r="CH249" s="299"/>
      <c r="CI249" s="299"/>
      <c r="CJ249" s="299"/>
      <c r="CK249" s="299"/>
      <c r="CL249" s="299"/>
      <c r="CM249" s="299"/>
      <c r="CN249" s="299"/>
      <c r="CO249" s="299"/>
      <c r="CP249" s="299"/>
      <c r="CQ249" s="299"/>
      <c r="CR249" s="299"/>
      <c r="CS249" s="299"/>
      <c r="CT249" s="299"/>
      <c r="CU249" s="299"/>
      <c r="CV249" s="299"/>
      <c r="CW249" s="299"/>
      <c r="CX249" s="299"/>
      <c r="CY249" s="299"/>
      <c r="CZ249" s="299"/>
      <c r="DA249" s="299"/>
      <c r="DB249" s="299"/>
      <c r="DC249" s="299"/>
      <c r="DD249" s="299"/>
      <c r="DE249" s="299"/>
      <c r="DF249" s="299"/>
      <c r="DG249" s="299"/>
      <c r="DH249" s="299"/>
      <c r="DI249" s="299"/>
      <c r="DJ249" s="299"/>
      <c r="DK249" s="299"/>
      <c r="DL249" s="299"/>
      <c r="DM249" s="299"/>
      <c r="DN249" s="299"/>
      <c r="DO249" s="299"/>
      <c r="DP249" s="299"/>
      <c r="DQ249" s="299"/>
      <c r="DR249" s="299"/>
      <c r="DS249" s="298"/>
      <c r="DT249" s="298"/>
      <c r="DU249" s="298"/>
      <c r="DV249" s="298"/>
      <c r="DW249" s="298"/>
      <c r="DX249" s="298"/>
      <c r="DY249" s="298"/>
      <c r="DZ249" s="298"/>
      <c r="EA249" s="298"/>
      <c r="EB249" s="298"/>
      <c r="EC249" s="298"/>
      <c r="ED249" s="298"/>
      <c r="EE249" s="298"/>
      <c r="EF249" s="298"/>
      <c r="EG249" s="298"/>
    </row>
    <row r="250" spans="49:137" ht="11.75" customHeight="1" x14ac:dyDescent="0.15">
      <c r="AW250" s="298"/>
      <c r="AX250" s="298"/>
      <c r="AY250" s="298"/>
      <c r="AZ250" s="298"/>
      <c r="BA250" s="298"/>
      <c r="BB250" s="298"/>
      <c r="BC250" s="298"/>
      <c r="BD250" s="298"/>
      <c r="BE250" s="298"/>
      <c r="BF250" s="298"/>
      <c r="BG250" s="298"/>
      <c r="BH250" s="298"/>
      <c r="BI250" s="298"/>
      <c r="BJ250" s="298"/>
      <c r="BK250" s="298"/>
      <c r="BL250" s="298"/>
      <c r="BM250" s="298"/>
      <c r="BN250" s="298"/>
      <c r="BO250" s="298"/>
      <c r="BP250" s="298"/>
      <c r="BQ250" s="298"/>
      <c r="BR250" s="298"/>
      <c r="BS250" s="298"/>
      <c r="BT250" s="298"/>
      <c r="BU250" s="298"/>
      <c r="BV250" s="298"/>
      <c r="BW250" s="298"/>
      <c r="BX250" s="299"/>
      <c r="BY250" s="299"/>
      <c r="BZ250" s="299"/>
      <c r="CA250" s="299"/>
      <c r="CB250" s="299"/>
      <c r="CC250" s="299"/>
      <c r="CD250" s="299"/>
      <c r="CE250" s="299"/>
      <c r="CF250" s="299"/>
      <c r="CG250" s="299"/>
      <c r="CH250" s="299"/>
      <c r="CI250" s="299"/>
      <c r="CJ250" s="299"/>
      <c r="CK250" s="299"/>
      <c r="CL250" s="299"/>
      <c r="CM250" s="299"/>
      <c r="CN250" s="299"/>
      <c r="CO250" s="299"/>
      <c r="CP250" s="299"/>
      <c r="CQ250" s="299"/>
      <c r="CR250" s="299"/>
      <c r="CS250" s="299"/>
      <c r="CT250" s="299"/>
      <c r="CU250" s="299"/>
      <c r="CV250" s="299"/>
      <c r="CW250" s="299"/>
      <c r="CX250" s="299"/>
      <c r="CY250" s="299"/>
      <c r="CZ250" s="299"/>
      <c r="DA250" s="299"/>
      <c r="DB250" s="299"/>
      <c r="DC250" s="299"/>
      <c r="DD250" s="299"/>
      <c r="DE250" s="299"/>
      <c r="DF250" s="299"/>
      <c r="DG250" s="299"/>
      <c r="DH250" s="299"/>
      <c r="DI250" s="299"/>
      <c r="DJ250" s="299"/>
      <c r="DK250" s="299"/>
      <c r="DL250" s="299"/>
      <c r="DM250" s="299"/>
      <c r="DN250" s="299"/>
      <c r="DO250" s="299"/>
      <c r="DP250" s="299"/>
      <c r="DQ250" s="299"/>
      <c r="DR250" s="299"/>
      <c r="DS250" s="298"/>
      <c r="DT250" s="298"/>
      <c r="DU250" s="298"/>
      <c r="DV250" s="298"/>
      <c r="DW250" s="298"/>
      <c r="DX250" s="298"/>
      <c r="DY250" s="298"/>
      <c r="DZ250" s="298"/>
      <c r="EA250" s="298"/>
      <c r="EB250" s="298"/>
      <c r="EC250" s="298"/>
      <c r="ED250" s="298"/>
      <c r="EE250" s="298"/>
      <c r="EF250" s="298"/>
      <c r="EG250" s="298"/>
    </row>
    <row r="251" spans="49:137" ht="11.75" customHeight="1" x14ac:dyDescent="0.15">
      <c r="AW251" s="298"/>
      <c r="AX251" s="298"/>
      <c r="AY251" s="298"/>
      <c r="AZ251" s="298"/>
      <c r="BA251" s="298"/>
      <c r="BB251" s="298"/>
      <c r="BC251" s="298"/>
      <c r="BD251" s="298"/>
      <c r="BE251" s="298"/>
      <c r="BF251" s="298"/>
      <c r="BG251" s="298"/>
      <c r="BH251" s="298"/>
      <c r="BI251" s="298"/>
      <c r="BJ251" s="298"/>
      <c r="BK251" s="298"/>
      <c r="BL251" s="298"/>
      <c r="BM251" s="298"/>
      <c r="BN251" s="298"/>
      <c r="BO251" s="298"/>
      <c r="BP251" s="298"/>
      <c r="BQ251" s="298"/>
      <c r="BR251" s="298"/>
      <c r="BS251" s="298"/>
      <c r="BT251" s="298"/>
      <c r="BU251" s="298"/>
      <c r="BV251" s="298"/>
      <c r="BW251" s="298"/>
      <c r="BX251" s="299"/>
      <c r="BY251" s="299"/>
      <c r="BZ251" s="299"/>
      <c r="CA251" s="299"/>
      <c r="CB251" s="299"/>
      <c r="CC251" s="299"/>
      <c r="CD251" s="299"/>
      <c r="CE251" s="299"/>
      <c r="CF251" s="299"/>
      <c r="CG251" s="299"/>
      <c r="CH251" s="299"/>
      <c r="CI251" s="299"/>
      <c r="CJ251" s="299"/>
      <c r="CK251" s="299"/>
      <c r="CL251" s="299"/>
      <c r="CM251" s="299"/>
      <c r="CN251" s="299"/>
      <c r="CO251" s="299"/>
      <c r="CP251" s="299"/>
      <c r="CQ251" s="299"/>
      <c r="CR251" s="299"/>
      <c r="CS251" s="299"/>
      <c r="CT251" s="299"/>
      <c r="CU251" s="299"/>
      <c r="CV251" s="299"/>
      <c r="CW251" s="299"/>
      <c r="CX251" s="299"/>
      <c r="CY251" s="299"/>
      <c r="CZ251" s="299"/>
      <c r="DA251" s="299"/>
      <c r="DB251" s="299"/>
      <c r="DC251" s="299"/>
      <c r="DD251" s="299"/>
      <c r="DE251" s="299"/>
      <c r="DF251" s="299"/>
      <c r="DG251" s="299"/>
      <c r="DH251" s="299"/>
      <c r="DI251" s="299"/>
      <c r="DJ251" s="299"/>
      <c r="DK251" s="299"/>
      <c r="DL251" s="299"/>
      <c r="DM251" s="299"/>
      <c r="DN251" s="299"/>
      <c r="DO251" s="299"/>
      <c r="DP251" s="299"/>
      <c r="DQ251" s="299"/>
      <c r="DR251" s="299"/>
      <c r="DS251" s="298"/>
      <c r="DT251" s="298"/>
      <c r="DU251" s="298"/>
      <c r="DV251" s="298"/>
      <c r="DW251" s="298"/>
      <c r="DX251" s="298"/>
      <c r="DY251" s="298"/>
      <c r="DZ251" s="298"/>
      <c r="EA251" s="298"/>
      <c r="EB251" s="298"/>
      <c r="EC251" s="298"/>
      <c r="ED251" s="298"/>
      <c r="EE251" s="298"/>
      <c r="EF251" s="298"/>
      <c r="EG251" s="298"/>
    </row>
    <row r="252" spans="49:137" ht="11.75" customHeight="1" x14ac:dyDescent="0.15">
      <c r="AW252" s="298"/>
      <c r="AX252" s="298"/>
      <c r="AY252" s="298"/>
      <c r="AZ252" s="298"/>
      <c r="BA252" s="298"/>
      <c r="BB252" s="298"/>
      <c r="BC252" s="298"/>
      <c r="BD252" s="298"/>
      <c r="BE252" s="298"/>
      <c r="BF252" s="298"/>
      <c r="BG252" s="298"/>
      <c r="BH252" s="298"/>
      <c r="BI252" s="298"/>
      <c r="BJ252" s="298"/>
      <c r="BK252" s="298"/>
      <c r="BL252" s="298"/>
      <c r="BM252" s="298"/>
      <c r="BN252" s="298"/>
      <c r="BO252" s="298"/>
      <c r="BP252" s="298"/>
      <c r="BQ252" s="298"/>
      <c r="BR252" s="298"/>
      <c r="BS252" s="298"/>
      <c r="BT252" s="298"/>
      <c r="BU252" s="298"/>
      <c r="BV252" s="298"/>
      <c r="BW252" s="298"/>
      <c r="BX252" s="299"/>
      <c r="BY252" s="299"/>
      <c r="BZ252" s="299"/>
      <c r="CA252" s="299"/>
      <c r="CB252" s="299"/>
      <c r="CC252" s="299"/>
      <c r="CD252" s="299"/>
      <c r="CE252" s="299"/>
      <c r="CF252" s="299"/>
      <c r="CG252" s="299"/>
      <c r="CH252" s="299"/>
      <c r="CI252" s="299"/>
      <c r="CJ252" s="299"/>
      <c r="CK252" s="299"/>
      <c r="CL252" s="299"/>
      <c r="CM252" s="299"/>
      <c r="CN252" s="299"/>
      <c r="CO252" s="299"/>
      <c r="CP252" s="299"/>
      <c r="CQ252" s="299"/>
      <c r="CR252" s="299"/>
      <c r="CS252" s="299"/>
      <c r="CT252" s="299"/>
      <c r="CU252" s="299"/>
      <c r="CV252" s="299"/>
      <c r="CW252" s="299"/>
      <c r="CX252" s="299"/>
      <c r="CY252" s="299"/>
      <c r="CZ252" s="299"/>
      <c r="DA252" s="299"/>
      <c r="DB252" s="299"/>
      <c r="DC252" s="299"/>
      <c r="DD252" s="299"/>
      <c r="DE252" s="299"/>
      <c r="DF252" s="299"/>
      <c r="DG252" s="299"/>
      <c r="DH252" s="299"/>
      <c r="DI252" s="299"/>
      <c r="DJ252" s="299"/>
      <c r="DK252" s="299"/>
      <c r="DL252" s="299"/>
      <c r="DM252" s="299"/>
      <c r="DN252" s="299"/>
      <c r="DO252" s="299"/>
      <c r="DP252" s="299"/>
      <c r="DQ252" s="299"/>
      <c r="DR252" s="299"/>
      <c r="DS252" s="298"/>
      <c r="DT252" s="298"/>
      <c r="DU252" s="298"/>
      <c r="DV252" s="298"/>
      <c r="DW252" s="298"/>
      <c r="DX252" s="298"/>
      <c r="DY252" s="298"/>
      <c r="DZ252" s="298"/>
      <c r="EA252" s="298"/>
      <c r="EB252" s="298"/>
      <c r="EC252" s="298"/>
      <c r="ED252" s="298"/>
      <c r="EE252" s="298"/>
      <c r="EF252" s="298"/>
      <c r="EG252" s="298"/>
    </row>
    <row r="253" spans="49:137" ht="11.75" customHeight="1" x14ac:dyDescent="0.15">
      <c r="AW253" s="298"/>
      <c r="AX253" s="298"/>
      <c r="AY253" s="298"/>
      <c r="AZ253" s="298"/>
      <c r="BA253" s="298"/>
      <c r="BB253" s="298"/>
      <c r="BC253" s="298"/>
      <c r="BD253" s="298"/>
      <c r="BE253" s="298"/>
      <c r="BF253" s="298"/>
      <c r="BG253" s="298"/>
      <c r="BH253" s="298"/>
      <c r="BI253" s="298"/>
      <c r="BJ253" s="298"/>
      <c r="BK253" s="298"/>
      <c r="BL253" s="298"/>
      <c r="BM253" s="298"/>
      <c r="BN253" s="298"/>
      <c r="BO253" s="298"/>
      <c r="BP253" s="298"/>
      <c r="BQ253" s="298"/>
      <c r="BR253" s="298"/>
      <c r="BS253" s="298"/>
      <c r="BT253" s="298"/>
      <c r="BU253" s="298"/>
      <c r="BV253" s="298"/>
      <c r="BW253" s="298"/>
      <c r="BX253" s="299"/>
      <c r="BY253" s="299"/>
      <c r="BZ253" s="299"/>
      <c r="CA253" s="299"/>
      <c r="CB253" s="299"/>
      <c r="CC253" s="299"/>
      <c r="CD253" s="299"/>
      <c r="CE253" s="299"/>
      <c r="CF253" s="299"/>
      <c r="CG253" s="299"/>
      <c r="CH253" s="299"/>
      <c r="CI253" s="299"/>
      <c r="CJ253" s="299"/>
      <c r="CK253" s="299"/>
      <c r="CL253" s="299"/>
      <c r="CM253" s="299"/>
      <c r="CN253" s="299"/>
      <c r="CO253" s="299"/>
      <c r="CP253" s="299"/>
      <c r="CQ253" s="299"/>
      <c r="CR253" s="299"/>
      <c r="CS253" s="299"/>
      <c r="CT253" s="299"/>
      <c r="CU253" s="299"/>
      <c r="CV253" s="299"/>
      <c r="CW253" s="299"/>
      <c r="CX253" s="299"/>
      <c r="CY253" s="299"/>
      <c r="CZ253" s="299"/>
      <c r="DA253" s="299"/>
      <c r="DB253" s="299"/>
      <c r="DC253" s="299"/>
      <c r="DD253" s="299"/>
      <c r="DE253" s="299"/>
      <c r="DF253" s="299"/>
      <c r="DG253" s="299"/>
      <c r="DH253" s="299"/>
      <c r="DI253" s="299"/>
      <c r="DJ253" s="299"/>
      <c r="DK253" s="299"/>
      <c r="DL253" s="299"/>
      <c r="DM253" s="299"/>
      <c r="DN253" s="299"/>
      <c r="DO253" s="299"/>
      <c r="DP253" s="299"/>
      <c r="DQ253" s="299"/>
      <c r="DR253" s="299"/>
      <c r="DS253" s="298"/>
      <c r="DT253" s="298"/>
      <c r="DU253" s="298"/>
      <c r="DV253" s="298"/>
      <c r="DW253" s="298"/>
      <c r="DX253" s="298"/>
      <c r="DY253" s="298"/>
      <c r="DZ253" s="298"/>
      <c r="EA253" s="298"/>
      <c r="EB253" s="298"/>
      <c r="EC253" s="298"/>
      <c r="ED253" s="298"/>
      <c r="EE253" s="298"/>
      <c r="EF253" s="298"/>
      <c r="EG253" s="298"/>
    </row>
    <row r="254" spans="49:137" ht="11.75" customHeight="1" x14ac:dyDescent="0.15">
      <c r="AW254" s="298"/>
      <c r="AX254" s="298"/>
      <c r="AY254" s="298"/>
      <c r="AZ254" s="298"/>
      <c r="BA254" s="298"/>
      <c r="BB254" s="298"/>
      <c r="BC254" s="298"/>
      <c r="BD254" s="298"/>
      <c r="BE254" s="298"/>
      <c r="BF254" s="298"/>
      <c r="BG254" s="298"/>
      <c r="BH254" s="298"/>
      <c r="BI254" s="298"/>
      <c r="BJ254" s="298"/>
      <c r="BK254" s="298"/>
      <c r="BL254" s="298"/>
      <c r="BM254" s="298"/>
      <c r="BN254" s="298"/>
      <c r="BO254" s="298"/>
      <c r="BP254" s="298"/>
      <c r="BQ254" s="298"/>
      <c r="BR254" s="298"/>
      <c r="BS254" s="298"/>
      <c r="BT254" s="298"/>
      <c r="BU254" s="298"/>
      <c r="BV254" s="298"/>
      <c r="BW254" s="298"/>
      <c r="BX254" s="299"/>
      <c r="BY254" s="299"/>
      <c r="BZ254" s="299"/>
      <c r="CA254" s="299"/>
      <c r="CB254" s="299"/>
      <c r="CC254" s="299"/>
      <c r="CD254" s="299"/>
      <c r="CE254" s="299"/>
      <c r="CF254" s="299"/>
      <c r="CG254" s="299"/>
      <c r="CH254" s="299"/>
      <c r="CI254" s="299"/>
      <c r="CJ254" s="299"/>
      <c r="CK254" s="299"/>
      <c r="CL254" s="299"/>
      <c r="CM254" s="299"/>
      <c r="CN254" s="299"/>
      <c r="CO254" s="299"/>
      <c r="CP254" s="299"/>
      <c r="CQ254" s="299"/>
      <c r="CR254" s="299"/>
      <c r="CS254" s="299"/>
      <c r="CT254" s="299"/>
      <c r="CU254" s="299"/>
      <c r="CV254" s="299"/>
      <c r="CW254" s="299"/>
      <c r="CX254" s="299"/>
      <c r="CY254" s="299"/>
      <c r="CZ254" s="299"/>
      <c r="DA254" s="299"/>
      <c r="DB254" s="299"/>
      <c r="DC254" s="299"/>
      <c r="DD254" s="299"/>
      <c r="DE254" s="299"/>
      <c r="DF254" s="299"/>
      <c r="DG254" s="299"/>
      <c r="DH254" s="299"/>
      <c r="DI254" s="299"/>
      <c r="DJ254" s="299"/>
      <c r="DK254" s="299"/>
      <c r="DL254" s="299"/>
      <c r="DM254" s="299"/>
      <c r="DN254" s="299"/>
      <c r="DO254" s="299"/>
      <c r="DP254" s="299"/>
      <c r="DQ254" s="299"/>
      <c r="DR254" s="299"/>
      <c r="DS254" s="298"/>
      <c r="DT254" s="298"/>
      <c r="DU254" s="298"/>
      <c r="DV254" s="298"/>
      <c r="DW254" s="298"/>
      <c r="DX254" s="298"/>
      <c r="DY254" s="298"/>
      <c r="DZ254" s="298"/>
      <c r="EA254" s="298"/>
      <c r="EB254" s="298"/>
      <c r="EC254" s="298"/>
      <c r="ED254" s="298"/>
      <c r="EE254" s="298"/>
      <c r="EF254" s="298"/>
      <c r="EG254" s="298"/>
    </row>
    <row r="255" spans="49:137" ht="11.75" customHeight="1" x14ac:dyDescent="0.15">
      <c r="AW255" s="298"/>
      <c r="AX255" s="298"/>
      <c r="AY255" s="298"/>
      <c r="AZ255" s="298"/>
      <c r="BA255" s="298"/>
      <c r="BB255" s="298"/>
      <c r="BC255" s="298"/>
      <c r="BD255" s="298"/>
      <c r="BE255" s="298"/>
      <c r="BF255" s="298"/>
      <c r="BG255" s="298"/>
      <c r="BH255" s="298"/>
      <c r="BI255" s="298"/>
      <c r="BJ255" s="298"/>
      <c r="BK255" s="298"/>
      <c r="BL255" s="298"/>
      <c r="BM255" s="298"/>
      <c r="BN255" s="298"/>
      <c r="BO255" s="298"/>
      <c r="BP255" s="298"/>
      <c r="BQ255" s="298"/>
      <c r="BR255" s="298"/>
      <c r="BS255" s="298"/>
      <c r="BT255" s="298"/>
      <c r="BU255" s="298"/>
      <c r="BV255" s="298"/>
      <c r="BW255" s="298"/>
      <c r="BX255" s="299"/>
      <c r="BY255" s="299"/>
      <c r="BZ255" s="299"/>
      <c r="CA255" s="299"/>
      <c r="CB255" s="299"/>
      <c r="CC255" s="299"/>
      <c r="CD255" s="299"/>
      <c r="CE255" s="299"/>
      <c r="CF255" s="299"/>
      <c r="CG255" s="299"/>
      <c r="CH255" s="299"/>
      <c r="CI255" s="299"/>
      <c r="CJ255" s="299"/>
      <c r="CK255" s="299"/>
      <c r="CL255" s="299"/>
      <c r="CM255" s="299"/>
      <c r="CN255" s="299"/>
      <c r="CO255" s="299"/>
      <c r="CP255" s="299"/>
      <c r="CQ255" s="299"/>
      <c r="CR255" s="299"/>
      <c r="CS255" s="299"/>
      <c r="CT255" s="299"/>
      <c r="CU255" s="299"/>
      <c r="CV255" s="299"/>
      <c r="CW255" s="299"/>
      <c r="CX255" s="299"/>
      <c r="CY255" s="299"/>
      <c r="CZ255" s="299"/>
      <c r="DA255" s="299"/>
      <c r="DB255" s="299"/>
      <c r="DC255" s="299"/>
      <c r="DD255" s="299"/>
      <c r="DE255" s="299"/>
      <c r="DF255" s="299"/>
      <c r="DG255" s="299"/>
      <c r="DH255" s="299"/>
      <c r="DI255" s="299"/>
      <c r="DJ255" s="299"/>
      <c r="DK255" s="299"/>
      <c r="DL255" s="299"/>
      <c r="DM255" s="299"/>
      <c r="DN255" s="299"/>
      <c r="DO255" s="299"/>
      <c r="DP255" s="299"/>
      <c r="DQ255" s="299"/>
      <c r="DR255" s="299"/>
      <c r="DS255" s="298"/>
      <c r="DT255" s="298"/>
      <c r="DU255" s="298"/>
      <c r="DV255" s="298"/>
      <c r="DW255" s="298"/>
      <c r="DX255" s="298"/>
      <c r="DY255" s="298"/>
      <c r="DZ255" s="298"/>
      <c r="EA255" s="298"/>
      <c r="EB255" s="298"/>
      <c r="EC255" s="298"/>
      <c r="ED255" s="298"/>
      <c r="EE255" s="298"/>
      <c r="EF255" s="298"/>
      <c r="EG255" s="298"/>
    </row>
    <row r="256" spans="49:137" ht="11.75" customHeight="1" x14ac:dyDescent="0.15">
      <c r="AW256" s="298"/>
      <c r="AX256" s="298"/>
      <c r="AY256" s="298"/>
      <c r="AZ256" s="298"/>
      <c r="BA256" s="298"/>
      <c r="BB256" s="298"/>
      <c r="BC256" s="298"/>
      <c r="BD256" s="298"/>
      <c r="BE256" s="298"/>
      <c r="BF256" s="298"/>
      <c r="BG256" s="298"/>
      <c r="BH256" s="298"/>
      <c r="BI256" s="298"/>
      <c r="BJ256" s="298"/>
      <c r="BK256" s="298"/>
      <c r="BL256" s="298"/>
      <c r="BM256" s="298"/>
      <c r="BN256" s="298"/>
      <c r="BO256" s="298"/>
      <c r="BP256" s="298"/>
      <c r="BQ256" s="298"/>
      <c r="BR256" s="298"/>
      <c r="BS256" s="298"/>
      <c r="BT256" s="298"/>
      <c r="BU256" s="298"/>
      <c r="BV256" s="298"/>
      <c r="BW256" s="298"/>
      <c r="BX256" s="299"/>
      <c r="BY256" s="299"/>
      <c r="BZ256" s="299"/>
      <c r="CA256" s="299"/>
      <c r="CB256" s="299"/>
      <c r="CC256" s="299"/>
      <c r="CD256" s="299"/>
      <c r="CE256" s="299"/>
      <c r="CF256" s="299"/>
      <c r="CG256" s="299"/>
      <c r="CH256" s="299"/>
      <c r="CI256" s="299"/>
      <c r="CJ256" s="299"/>
      <c r="CK256" s="299"/>
      <c r="CL256" s="299"/>
      <c r="CM256" s="299"/>
      <c r="CN256" s="299"/>
      <c r="CO256" s="299"/>
      <c r="CP256" s="299"/>
      <c r="CQ256" s="299"/>
      <c r="CR256" s="299"/>
      <c r="CS256" s="299"/>
      <c r="CT256" s="299"/>
      <c r="CU256" s="299"/>
      <c r="CV256" s="299"/>
      <c r="CW256" s="299"/>
      <c r="CX256" s="299"/>
      <c r="CY256" s="299"/>
      <c r="CZ256" s="299"/>
      <c r="DA256" s="299"/>
      <c r="DB256" s="299"/>
      <c r="DC256" s="299"/>
      <c r="DD256" s="299"/>
      <c r="DE256" s="299"/>
      <c r="DF256" s="299"/>
      <c r="DG256" s="299"/>
      <c r="DH256" s="299"/>
      <c r="DI256" s="299"/>
      <c r="DJ256" s="299"/>
      <c r="DK256" s="299"/>
      <c r="DL256" s="299"/>
      <c r="DM256" s="299"/>
      <c r="DN256" s="299"/>
      <c r="DO256" s="299"/>
      <c r="DP256" s="299"/>
      <c r="DQ256" s="299"/>
      <c r="DR256" s="299"/>
      <c r="DS256" s="298"/>
      <c r="DT256" s="298"/>
      <c r="DU256" s="298"/>
      <c r="DV256" s="298"/>
      <c r="DW256" s="298"/>
      <c r="DX256" s="298"/>
      <c r="DY256" s="298"/>
      <c r="DZ256" s="298"/>
      <c r="EA256" s="298"/>
      <c r="EB256" s="298"/>
      <c r="EC256" s="298"/>
      <c r="ED256" s="298"/>
      <c r="EE256" s="298"/>
      <c r="EF256" s="298"/>
      <c r="EG256" s="298"/>
    </row>
    <row r="257" spans="49:137" ht="11.75" customHeight="1" x14ac:dyDescent="0.15">
      <c r="AW257" s="298"/>
      <c r="AX257" s="298"/>
      <c r="AY257" s="298"/>
      <c r="AZ257" s="298"/>
      <c r="BA257" s="298"/>
      <c r="BB257" s="298"/>
      <c r="BC257" s="298"/>
      <c r="BD257" s="298"/>
      <c r="BE257" s="298"/>
      <c r="BF257" s="298"/>
      <c r="BG257" s="298"/>
      <c r="BH257" s="298"/>
      <c r="BI257" s="298"/>
      <c r="BJ257" s="298"/>
      <c r="BK257" s="298"/>
      <c r="BL257" s="298"/>
      <c r="BM257" s="298"/>
      <c r="BN257" s="298"/>
      <c r="BO257" s="298"/>
      <c r="BP257" s="298"/>
      <c r="BQ257" s="298"/>
      <c r="BR257" s="298"/>
      <c r="BS257" s="298"/>
      <c r="BT257" s="298"/>
      <c r="BU257" s="298"/>
      <c r="BV257" s="298"/>
      <c r="BW257" s="298"/>
      <c r="BX257" s="299"/>
      <c r="BY257" s="299"/>
      <c r="BZ257" s="299"/>
      <c r="CA257" s="299"/>
      <c r="CB257" s="299"/>
      <c r="CC257" s="299"/>
      <c r="CD257" s="299"/>
      <c r="CE257" s="299"/>
      <c r="CF257" s="299"/>
      <c r="CG257" s="299"/>
      <c r="CH257" s="299"/>
      <c r="CI257" s="299"/>
      <c r="CJ257" s="299"/>
      <c r="CK257" s="299"/>
      <c r="CL257" s="299"/>
      <c r="CM257" s="299"/>
      <c r="CN257" s="299"/>
      <c r="CO257" s="299"/>
      <c r="CP257" s="299"/>
      <c r="CQ257" s="299"/>
      <c r="CR257" s="299"/>
      <c r="CS257" s="299"/>
      <c r="CT257" s="299"/>
      <c r="CU257" s="299"/>
      <c r="CV257" s="299"/>
      <c r="CW257" s="299"/>
      <c r="CX257" s="299"/>
      <c r="CY257" s="299"/>
      <c r="CZ257" s="299"/>
      <c r="DA257" s="299"/>
      <c r="DB257" s="299"/>
      <c r="DC257" s="299"/>
      <c r="DD257" s="299"/>
      <c r="DE257" s="299"/>
      <c r="DF257" s="299"/>
      <c r="DG257" s="299"/>
      <c r="DH257" s="299"/>
      <c r="DI257" s="299"/>
      <c r="DJ257" s="299"/>
      <c r="DK257" s="299"/>
      <c r="DL257" s="299"/>
      <c r="DM257" s="299"/>
      <c r="DN257" s="299"/>
      <c r="DO257" s="299"/>
      <c r="DP257" s="299"/>
      <c r="DQ257" s="299"/>
      <c r="DR257" s="299"/>
      <c r="DS257" s="298"/>
      <c r="DT257" s="298"/>
      <c r="DU257" s="298"/>
      <c r="DV257" s="298"/>
      <c r="DW257" s="298"/>
      <c r="DX257" s="298"/>
      <c r="DY257" s="298"/>
      <c r="DZ257" s="298"/>
      <c r="EA257" s="298"/>
      <c r="EB257" s="298"/>
      <c r="EC257" s="298"/>
      <c r="ED257" s="298"/>
      <c r="EE257" s="298"/>
      <c r="EF257" s="298"/>
      <c r="EG257" s="298"/>
    </row>
    <row r="258" spans="49:137" ht="11.75" customHeight="1" x14ac:dyDescent="0.15">
      <c r="AW258" s="298"/>
      <c r="AX258" s="298"/>
      <c r="AY258" s="298"/>
      <c r="AZ258" s="298"/>
      <c r="BA258" s="298"/>
      <c r="BB258" s="298"/>
      <c r="BC258" s="298"/>
      <c r="BD258" s="298"/>
      <c r="BE258" s="298"/>
      <c r="BF258" s="298"/>
      <c r="BG258" s="298"/>
      <c r="BH258" s="298"/>
      <c r="BI258" s="298"/>
      <c r="BJ258" s="298"/>
      <c r="BK258" s="298"/>
      <c r="BL258" s="298"/>
      <c r="BM258" s="298"/>
      <c r="BN258" s="298"/>
      <c r="BO258" s="298"/>
      <c r="BP258" s="298"/>
      <c r="BQ258" s="298"/>
      <c r="BR258" s="298"/>
      <c r="BS258" s="298"/>
      <c r="BT258" s="298"/>
      <c r="BU258" s="298"/>
      <c r="BV258" s="298"/>
      <c r="BW258" s="298"/>
      <c r="BX258" s="299"/>
      <c r="BY258" s="299"/>
      <c r="BZ258" s="299"/>
      <c r="CA258" s="299"/>
      <c r="CB258" s="299"/>
      <c r="CC258" s="299"/>
      <c r="CD258" s="299"/>
      <c r="CE258" s="299"/>
      <c r="CF258" s="299"/>
      <c r="CG258" s="299"/>
      <c r="CH258" s="299"/>
      <c r="CI258" s="299"/>
      <c r="CJ258" s="299"/>
      <c r="CK258" s="299"/>
      <c r="CL258" s="299"/>
      <c r="CM258" s="299"/>
      <c r="CN258" s="299"/>
      <c r="CO258" s="299"/>
      <c r="CP258" s="299"/>
      <c r="CQ258" s="299"/>
      <c r="CR258" s="299"/>
      <c r="CS258" s="299"/>
      <c r="CT258" s="299"/>
      <c r="CU258" s="299"/>
      <c r="CV258" s="299"/>
      <c r="CW258" s="299"/>
      <c r="CX258" s="299"/>
      <c r="CY258" s="299"/>
      <c r="CZ258" s="299"/>
      <c r="DA258" s="299"/>
      <c r="DB258" s="299"/>
      <c r="DC258" s="299"/>
      <c r="DD258" s="299"/>
      <c r="DE258" s="299"/>
      <c r="DF258" s="299"/>
      <c r="DG258" s="299"/>
      <c r="DH258" s="299"/>
      <c r="DI258" s="299"/>
      <c r="DJ258" s="299"/>
      <c r="DK258" s="299"/>
      <c r="DL258" s="299"/>
      <c r="DM258" s="299"/>
      <c r="DN258" s="299"/>
      <c r="DO258" s="299"/>
      <c r="DP258" s="299"/>
      <c r="DQ258" s="299"/>
      <c r="DR258" s="299"/>
      <c r="DS258" s="298"/>
      <c r="DT258" s="298"/>
      <c r="DU258" s="298"/>
      <c r="DV258" s="298"/>
      <c r="DW258" s="298"/>
      <c r="DX258" s="298"/>
      <c r="DY258" s="298"/>
      <c r="DZ258" s="298"/>
      <c r="EA258" s="298"/>
      <c r="EB258" s="298"/>
      <c r="EC258" s="298"/>
      <c r="ED258" s="298"/>
      <c r="EE258" s="298"/>
      <c r="EF258" s="298"/>
      <c r="EG258" s="298"/>
    </row>
    <row r="259" spans="49:137" ht="11.75" customHeight="1" x14ac:dyDescent="0.15">
      <c r="AW259" s="298"/>
      <c r="AX259" s="298"/>
      <c r="AY259" s="298"/>
      <c r="AZ259" s="298"/>
      <c r="BA259" s="298"/>
      <c r="BB259" s="298"/>
      <c r="BC259" s="298"/>
      <c r="BD259" s="298"/>
      <c r="BE259" s="298"/>
      <c r="BF259" s="298"/>
      <c r="BG259" s="298"/>
      <c r="BH259" s="298"/>
      <c r="BI259" s="298"/>
      <c r="BJ259" s="298"/>
      <c r="BK259" s="298"/>
      <c r="BL259" s="298"/>
      <c r="BM259" s="298"/>
      <c r="BN259" s="298"/>
      <c r="BO259" s="298"/>
      <c r="BP259" s="298"/>
      <c r="BQ259" s="298"/>
      <c r="BR259" s="298"/>
      <c r="BS259" s="298"/>
      <c r="BT259" s="298"/>
      <c r="BU259" s="298"/>
      <c r="BV259" s="298"/>
      <c r="BW259" s="298"/>
      <c r="BX259" s="299"/>
      <c r="BY259" s="299"/>
      <c r="BZ259" s="299"/>
      <c r="CA259" s="299"/>
      <c r="CB259" s="299"/>
      <c r="CC259" s="299"/>
      <c r="CD259" s="299"/>
      <c r="CE259" s="299"/>
      <c r="CF259" s="299"/>
      <c r="CG259" s="299"/>
      <c r="CH259" s="299"/>
      <c r="CI259" s="299"/>
      <c r="CJ259" s="299"/>
      <c r="CK259" s="299"/>
      <c r="CL259" s="299"/>
      <c r="CM259" s="299"/>
      <c r="CN259" s="299"/>
      <c r="CO259" s="299"/>
      <c r="CP259" s="299"/>
      <c r="CQ259" s="299"/>
      <c r="CR259" s="299"/>
      <c r="CS259" s="299"/>
      <c r="CT259" s="299"/>
      <c r="CU259" s="299"/>
      <c r="CV259" s="299"/>
      <c r="CW259" s="299"/>
      <c r="CX259" s="299"/>
      <c r="CY259" s="299"/>
      <c r="CZ259" s="299"/>
      <c r="DA259" s="299"/>
      <c r="DB259" s="299"/>
      <c r="DC259" s="299"/>
      <c r="DD259" s="299"/>
      <c r="DE259" s="299"/>
      <c r="DF259" s="299"/>
      <c r="DG259" s="299"/>
      <c r="DH259" s="299"/>
      <c r="DI259" s="299"/>
      <c r="DJ259" s="299"/>
      <c r="DK259" s="299"/>
      <c r="DL259" s="299"/>
      <c r="DM259" s="299"/>
      <c r="DN259" s="299"/>
      <c r="DO259" s="299"/>
      <c r="DP259" s="299"/>
      <c r="DQ259" s="299"/>
      <c r="DR259" s="299"/>
      <c r="DS259" s="298"/>
      <c r="DT259" s="298"/>
      <c r="DU259" s="298"/>
      <c r="DV259" s="298"/>
      <c r="DW259" s="298"/>
      <c r="DX259" s="298"/>
      <c r="DY259" s="298"/>
      <c r="DZ259" s="298"/>
      <c r="EA259" s="298"/>
      <c r="EB259" s="298"/>
      <c r="EC259" s="298"/>
      <c r="ED259" s="298"/>
      <c r="EE259" s="298"/>
      <c r="EF259" s="298"/>
      <c r="EG259" s="298"/>
    </row>
    <row r="260" spans="49:137" ht="11.75" customHeight="1" x14ac:dyDescent="0.15">
      <c r="AW260" s="298"/>
      <c r="AX260" s="298"/>
      <c r="AY260" s="298"/>
      <c r="AZ260" s="298"/>
      <c r="BA260" s="298"/>
      <c r="BB260" s="298"/>
      <c r="BC260" s="298"/>
      <c r="BD260" s="298"/>
      <c r="BE260" s="298"/>
      <c r="BF260" s="298"/>
      <c r="BG260" s="298"/>
      <c r="BH260" s="298"/>
      <c r="BI260" s="298"/>
      <c r="BJ260" s="298"/>
      <c r="BK260" s="298"/>
      <c r="BL260" s="298"/>
      <c r="BM260" s="298"/>
      <c r="BN260" s="298"/>
      <c r="BO260" s="298"/>
      <c r="BP260" s="298"/>
      <c r="BQ260" s="298"/>
      <c r="BR260" s="298"/>
      <c r="BS260" s="298"/>
      <c r="BT260" s="298"/>
      <c r="BU260" s="298"/>
      <c r="BV260" s="298"/>
      <c r="BW260" s="298"/>
      <c r="BX260" s="299"/>
      <c r="BY260" s="299"/>
      <c r="BZ260" s="299"/>
      <c r="CA260" s="299"/>
      <c r="CB260" s="299"/>
      <c r="CC260" s="299"/>
      <c r="CD260" s="299"/>
      <c r="CE260" s="299"/>
      <c r="CF260" s="299"/>
      <c r="CG260" s="299"/>
      <c r="CH260" s="299"/>
      <c r="CI260" s="299"/>
      <c r="CJ260" s="299"/>
      <c r="CK260" s="299"/>
      <c r="CL260" s="299"/>
      <c r="CM260" s="299"/>
      <c r="CN260" s="299"/>
      <c r="CO260" s="299"/>
      <c r="CP260" s="299"/>
      <c r="CQ260" s="299"/>
      <c r="CR260" s="299"/>
      <c r="CS260" s="299"/>
      <c r="CT260" s="299"/>
      <c r="CU260" s="299"/>
      <c r="CV260" s="299"/>
      <c r="CW260" s="299"/>
      <c r="CX260" s="299"/>
      <c r="CY260" s="299"/>
      <c r="CZ260" s="299"/>
      <c r="DA260" s="299"/>
      <c r="DB260" s="299"/>
      <c r="DC260" s="299"/>
      <c r="DD260" s="299"/>
      <c r="DE260" s="299"/>
      <c r="DF260" s="299"/>
      <c r="DG260" s="299"/>
      <c r="DH260" s="299"/>
      <c r="DI260" s="299"/>
      <c r="DJ260" s="299"/>
      <c r="DK260" s="299"/>
      <c r="DL260" s="299"/>
      <c r="DM260" s="299"/>
      <c r="DN260" s="299"/>
      <c r="DO260" s="299"/>
      <c r="DP260" s="299"/>
      <c r="DQ260" s="299"/>
      <c r="DR260" s="299"/>
      <c r="DS260" s="298"/>
      <c r="DT260" s="298"/>
      <c r="DU260" s="298"/>
      <c r="DV260" s="298"/>
      <c r="DW260" s="298"/>
      <c r="DX260" s="298"/>
      <c r="DY260" s="298"/>
      <c r="DZ260" s="298"/>
      <c r="EA260" s="298"/>
      <c r="EB260" s="298"/>
      <c r="EC260" s="298"/>
      <c r="ED260" s="298"/>
      <c r="EE260" s="298"/>
      <c r="EF260" s="298"/>
      <c r="EG260" s="298"/>
    </row>
    <row r="261" spans="49:137" ht="11.75" customHeight="1" x14ac:dyDescent="0.15">
      <c r="AW261" s="298"/>
      <c r="AX261" s="298"/>
      <c r="AY261" s="298"/>
      <c r="AZ261" s="298"/>
      <c r="BA261" s="298"/>
      <c r="BB261" s="298"/>
      <c r="BC261" s="298"/>
      <c r="BD261" s="298"/>
      <c r="BE261" s="298"/>
      <c r="BF261" s="298"/>
      <c r="BG261" s="298"/>
      <c r="BH261" s="298"/>
      <c r="BI261" s="298"/>
      <c r="BJ261" s="298"/>
      <c r="BK261" s="298"/>
      <c r="BL261" s="298"/>
      <c r="BM261" s="298"/>
      <c r="BN261" s="298"/>
      <c r="BO261" s="298"/>
      <c r="BP261" s="298"/>
      <c r="BQ261" s="298"/>
      <c r="BR261" s="298"/>
      <c r="BS261" s="298"/>
      <c r="BT261" s="298"/>
      <c r="BU261" s="298"/>
      <c r="BV261" s="298"/>
      <c r="BW261" s="298"/>
      <c r="BX261" s="299"/>
      <c r="BY261" s="299"/>
      <c r="BZ261" s="299"/>
      <c r="CA261" s="299"/>
      <c r="CB261" s="299"/>
      <c r="CC261" s="299"/>
      <c r="CD261" s="299"/>
      <c r="CE261" s="299"/>
      <c r="CF261" s="299"/>
      <c r="CG261" s="299"/>
      <c r="CH261" s="299"/>
      <c r="CI261" s="299"/>
      <c r="CJ261" s="299"/>
      <c r="CK261" s="299"/>
      <c r="CL261" s="299"/>
      <c r="CM261" s="299"/>
      <c r="CN261" s="299"/>
      <c r="CO261" s="299"/>
      <c r="CP261" s="299"/>
      <c r="CQ261" s="299"/>
      <c r="CR261" s="299"/>
      <c r="CS261" s="299"/>
      <c r="CT261" s="299"/>
      <c r="CU261" s="299"/>
      <c r="CV261" s="299"/>
      <c r="CW261" s="299"/>
      <c r="CX261" s="299"/>
      <c r="CY261" s="299"/>
      <c r="CZ261" s="299"/>
      <c r="DA261" s="299"/>
      <c r="DB261" s="299"/>
      <c r="DC261" s="299"/>
      <c r="DD261" s="299"/>
      <c r="DE261" s="299"/>
      <c r="DF261" s="299"/>
      <c r="DG261" s="299"/>
      <c r="DH261" s="299"/>
      <c r="DI261" s="299"/>
      <c r="DJ261" s="299"/>
      <c r="DK261" s="299"/>
      <c r="DL261" s="299"/>
      <c r="DM261" s="299"/>
      <c r="DN261" s="299"/>
      <c r="DO261" s="299"/>
      <c r="DP261" s="299"/>
      <c r="DQ261" s="299"/>
      <c r="DR261" s="299"/>
      <c r="DS261" s="298"/>
      <c r="DT261" s="298"/>
      <c r="DU261" s="298"/>
      <c r="DV261" s="298"/>
      <c r="DW261" s="298"/>
      <c r="DX261" s="298"/>
      <c r="DY261" s="298"/>
      <c r="DZ261" s="298"/>
      <c r="EA261" s="298"/>
      <c r="EB261" s="298"/>
      <c r="EC261" s="298"/>
      <c r="ED261" s="298"/>
      <c r="EE261" s="298"/>
      <c r="EF261" s="298"/>
      <c r="EG261" s="298"/>
    </row>
    <row r="262" spans="49:137" ht="11.75" customHeight="1" x14ac:dyDescent="0.15">
      <c r="AW262" s="298"/>
      <c r="AX262" s="298"/>
      <c r="AY262" s="298"/>
      <c r="AZ262" s="298"/>
      <c r="BA262" s="298"/>
      <c r="BB262" s="298"/>
      <c r="BC262" s="298"/>
      <c r="BD262" s="298"/>
      <c r="BE262" s="298"/>
      <c r="BF262" s="298"/>
      <c r="BG262" s="298"/>
      <c r="BH262" s="298"/>
      <c r="BI262" s="298"/>
      <c r="BJ262" s="298"/>
      <c r="BK262" s="298"/>
      <c r="BL262" s="298"/>
      <c r="BM262" s="298"/>
      <c r="BN262" s="298"/>
      <c r="BO262" s="298"/>
      <c r="BP262" s="298"/>
      <c r="BQ262" s="298"/>
      <c r="BR262" s="298"/>
      <c r="BS262" s="298"/>
      <c r="BT262" s="298"/>
      <c r="BU262" s="298"/>
      <c r="BV262" s="298"/>
      <c r="BW262" s="298"/>
      <c r="BX262" s="299"/>
      <c r="BY262" s="299"/>
      <c r="BZ262" s="299"/>
      <c r="CA262" s="299"/>
      <c r="CB262" s="299"/>
      <c r="CC262" s="299"/>
      <c r="CD262" s="299"/>
      <c r="CE262" s="299"/>
      <c r="CF262" s="299"/>
      <c r="CG262" s="299"/>
      <c r="CH262" s="299"/>
      <c r="CI262" s="299"/>
      <c r="CJ262" s="299"/>
      <c r="CK262" s="299"/>
      <c r="CL262" s="299"/>
      <c r="CM262" s="299"/>
      <c r="CN262" s="299"/>
      <c r="CO262" s="299"/>
      <c r="CP262" s="299"/>
      <c r="CQ262" s="299"/>
      <c r="CR262" s="299"/>
      <c r="CS262" s="299"/>
      <c r="CT262" s="299"/>
      <c r="CU262" s="299"/>
      <c r="CV262" s="299"/>
      <c r="CW262" s="299"/>
      <c r="CX262" s="299"/>
      <c r="CY262" s="299"/>
      <c r="CZ262" s="299"/>
      <c r="DA262" s="299"/>
      <c r="DB262" s="299"/>
      <c r="DC262" s="299"/>
      <c r="DD262" s="299"/>
      <c r="DE262" s="299"/>
      <c r="DF262" s="299"/>
      <c r="DG262" s="299"/>
      <c r="DH262" s="299"/>
      <c r="DI262" s="299"/>
      <c r="DJ262" s="299"/>
      <c r="DK262" s="299"/>
      <c r="DL262" s="299"/>
      <c r="DM262" s="299"/>
      <c r="DN262" s="299"/>
      <c r="DO262" s="299"/>
      <c r="DP262" s="299"/>
      <c r="DQ262" s="299"/>
      <c r="DR262" s="299"/>
      <c r="DS262" s="298"/>
      <c r="DT262" s="298"/>
      <c r="DU262" s="298"/>
      <c r="DV262" s="298"/>
      <c r="DW262" s="298"/>
      <c r="DX262" s="298"/>
      <c r="DY262" s="298"/>
      <c r="DZ262" s="298"/>
      <c r="EA262" s="298"/>
      <c r="EB262" s="298"/>
      <c r="EC262" s="298"/>
      <c r="ED262" s="298"/>
      <c r="EE262" s="298"/>
      <c r="EF262" s="298"/>
      <c r="EG262" s="298"/>
    </row>
    <row r="263" spans="49:137" ht="11.75" customHeight="1" x14ac:dyDescent="0.15">
      <c r="AW263" s="298"/>
      <c r="AX263" s="298"/>
      <c r="AY263" s="298"/>
      <c r="AZ263" s="298"/>
      <c r="BA263" s="298"/>
      <c r="BB263" s="298"/>
      <c r="BC263" s="298"/>
      <c r="BD263" s="298"/>
      <c r="BE263" s="298"/>
      <c r="BF263" s="298"/>
      <c r="BG263" s="298"/>
      <c r="BH263" s="298"/>
      <c r="BI263" s="298"/>
      <c r="BJ263" s="298"/>
      <c r="BK263" s="298"/>
      <c r="BL263" s="298"/>
      <c r="BM263" s="298"/>
      <c r="BN263" s="298"/>
      <c r="BO263" s="298"/>
      <c r="BP263" s="298"/>
      <c r="BQ263" s="298"/>
      <c r="BR263" s="298"/>
      <c r="BS263" s="298"/>
      <c r="BT263" s="298"/>
      <c r="BU263" s="298"/>
      <c r="BV263" s="298"/>
      <c r="BW263" s="298"/>
      <c r="BX263" s="299"/>
      <c r="BY263" s="299"/>
      <c r="BZ263" s="299"/>
      <c r="CA263" s="299"/>
      <c r="CB263" s="299"/>
      <c r="CC263" s="299"/>
      <c r="CD263" s="299"/>
      <c r="CE263" s="299"/>
      <c r="CF263" s="299"/>
      <c r="CG263" s="299"/>
      <c r="CH263" s="299"/>
      <c r="CI263" s="299"/>
      <c r="CJ263" s="299"/>
      <c r="CK263" s="299"/>
      <c r="CL263" s="299"/>
      <c r="CM263" s="299"/>
      <c r="CN263" s="299"/>
      <c r="CO263" s="299"/>
      <c r="CP263" s="299"/>
      <c r="CQ263" s="299"/>
      <c r="CR263" s="299"/>
      <c r="CS263" s="299"/>
      <c r="CT263" s="299"/>
      <c r="CU263" s="299"/>
      <c r="CV263" s="299"/>
      <c r="CW263" s="299"/>
      <c r="CX263" s="299"/>
      <c r="CY263" s="299"/>
      <c r="CZ263" s="299"/>
      <c r="DA263" s="299"/>
      <c r="DB263" s="299"/>
      <c r="DC263" s="299"/>
      <c r="DD263" s="299"/>
      <c r="DE263" s="299"/>
      <c r="DF263" s="299"/>
      <c r="DG263" s="299"/>
      <c r="DH263" s="299"/>
      <c r="DI263" s="299"/>
      <c r="DJ263" s="299"/>
      <c r="DK263" s="299"/>
      <c r="DL263" s="299"/>
      <c r="DM263" s="299"/>
      <c r="DN263" s="299"/>
      <c r="DO263" s="299"/>
      <c r="DP263" s="299"/>
      <c r="DQ263" s="299"/>
      <c r="DR263" s="299"/>
      <c r="DS263" s="298"/>
      <c r="DT263" s="298"/>
      <c r="DU263" s="298"/>
      <c r="DV263" s="298"/>
      <c r="DW263" s="298"/>
      <c r="DX263" s="298"/>
      <c r="DY263" s="298"/>
      <c r="DZ263" s="298"/>
      <c r="EA263" s="298"/>
      <c r="EB263" s="298"/>
      <c r="EC263" s="298"/>
      <c r="ED263" s="298"/>
      <c r="EE263" s="298"/>
      <c r="EF263" s="298"/>
      <c r="EG263" s="298"/>
    </row>
    <row r="264" spans="49:137" ht="11.75" customHeight="1" x14ac:dyDescent="0.15">
      <c r="AW264" s="298"/>
      <c r="AX264" s="298"/>
      <c r="AY264" s="298"/>
      <c r="AZ264" s="298"/>
      <c r="BA264" s="298"/>
      <c r="BB264" s="298"/>
      <c r="BC264" s="298"/>
      <c r="BD264" s="298"/>
      <c r="BE264" s="298"/>
      <c r="BF264" s="298"/>
      <c r="BG264" s="298"/>
      <c r="BH264" s="298"/>
      <c r="BI264" s="298"/>
      <c r="BJ264" s="298"/>
      <c r="BK264" s="298"/>
      <c r="BL264" s="298"/>
      <c r="BM264" s="298"/>
      <c r="BN264" s="298"/>
      <c r="BO264" s="298"/>
      <c r="BP264" s="298"/>
      <c r="BQ264" s="298"/>
      <c r="BR264" s="298"/>
      <c r="BS264" s="298"/>
      <c r="BT264" s="298"/>
      <c r="BU264" s="298"/>
      <c r="BV264" s="298"/>
      <c r="BW264" s="298"/>
      <c r="BX264" s="299"/>
      <c r="BY264" s="299"/>
      <c r="BZ264" s="299"/>
      <c r="CA264" s="299"/>
      <c r="CB264" s="299"/>
      <c r="CC264" s="299"/>
      <c r="CD264" s="299"/>
      <c r="CE264" s="299"/>
      <c r="CF264" s="299"/>
      <c r="CG264" s="299"/>
      <c r="CH264" s="299"/>
      <c r="CI264" s="299"/>
      <c r="CJ264" s="299"/>
      <c r="CK264" s="299"/>
      <c r="CL264" s="299"/>
      <c r="CM264" s="299"/>
      <c r="CN264" s="299"/>
      <c r="CO264" s="299"/>
      <c r="CP264" s="299"/>
      <c r="CQ264" s="299"/>
      <c r="CR264" s="299"/>
      <c r="CS264" s="299"/>
      <c r="CT264" s="299"/>
      <c r="CU264" s="299"/>
      <c r="CV264" s="299"/>
      <c r="CW264" s="299"/>
      <c r="CX264" s="299"/>
      <c r="CY264" s="299"/>
      <c r="CZ264" s="299"/>
      <c r="DA264" s="299"/>
      <c r="DB264" s="299"/>
      <c r="DC264" s="299"/>
      <c r="DD264" s="299"/>
      <c r="DE264" s="299"/>
      <c r="DF264" s="299"/>
      <c r="DG264" s="299"/>
      <c r="DH264" s="299"/>
      <c r="DI264" s="299"/>
      <c r="DJ264" s="299"/>
      <c r="DK264" s="299"/>
      <c r="DL264" s="299"/>
      <c r="DM264" s="299"/>
      <c r="DN264" s="299"/>
      <c r="DO264" s="299"/>
      <c r="DP264" s="299"/>
      <c r="DQ264" s="299"/>
      <c r="DR264" s="299"/>
      <c r="DS264" s="298"/>
      <c r="DT264" s="298"/>
      <c r="DU264" s="298"/>
      <c r="DV264" s="298"/>
      <c r="DW264" s="298"/>
      <c r="DX264" s="298"/>
      <c r="DY264" s="298"/>
      <c r="DZ264" s="298"/>
      <c r="EA264" s="298"/>
      <c r="EB264" s="298"/>
      <c r="EC264" s="298"/>
      <c r="ED264" s="298"/>
      <c r="EE264" s="298"/>
      <c r="EF264" s="298"/>
      <c r="EG264" s="298"/>
    </row>
    <row r="265" spans="49:137" ht="11.75" customHeight="1" x14ac:dyDescent="0.15">
      <c r="AW265" s="298"/>
      <c r="AX265" s="298"/>
      <c r="AY265" s="298"/>
      <c r="AZ265" s="298"/>
      <c r="BA265" s="298"/>
      <c r="BB265" s="298"/>
      <c r="BC265" s="298"/>
      <c r="BD265" s="298"/>
      <c r="BE265" s="298"/>
      <c r="BF265" s="298"/>
      <c r="BG265" s="298"/>
      <c r="BH265" s="298"/>
      <c r="BI265" s="298"/>
      <c r="BJ265" s="298"/>
      <c r="BK265" s="298"/>
      <c r="BL265" s="298"/>
      <c r="BM265" s="298"/>
      <c r="BN265" s="298"/>
      <c r="BO265" s="298"/>
      <c r="BP265" s="298"/>
      <c r="BQ265" s="298"/>
      <c r="BR265" s="298"/>
      <c r="BS265" s="298"/>
      <c r="BT265" s="298"/>
      <c r="BU265" s="298"/>
      <c r="BV265" s="298"/>
      <c r="BW265" s="298"/>
      <c r="BX265" s="299"/>
      <c r="BY265" s="299"/>
      <c r="BZ265" s="299"/>
      <c r="CA265" s="299"/>
      <c r="CB265" s="299"/>
      <c r="CC265" s="299"/>
      <c r="CD265" s="299"/>
      <c r="CE265" s="299"/>
      <c r="CF265" s="299"/>
      <c r="CG265" s="299"/>
      <c r="CH265" s="299"/>
      <c r="CI265" s="299"/>
      <c r="CJ265" s="299"/>
      <c r="CK265" s="299"/>
      <c r="CL265" s="299"/>
      <c r="CM265" s="299"/>
      <c r="CN265" s="299"/>
      <c r="CO265" s="299"/>
      <c r="CP265" s="299"/>
      <c r="CQ265" s="299"/>
      <c r="CR265" s="299"/>
      <c r="CS265" s="299"/>
      <c r="CT265" s="299"/>
      <c r="CU265" s="299"/>
      <c r="CV265" s="299"/>
      <c r="CW265" s="299"/>
      <c r="CX265" s="299"/>
      <c r="CY265" s="299"/>
      <c r="CZ265" s="299"/>
      <c r="DA265" s="299"/>
      <c r="DB265" s="299"/>
      <c r="DC265" s="299"/>
      <c r="DD265" s="299"/>
      <c r="DE265" s="299"/>
      <c r="DF265" s="299"/>
      <c r="DG265" s="299"/>
      <c r="DH265" s="299"/>
      <c r="DI265" s="299"/>
      <c r="DJ265" s="299"/>
      <c r="DK265" s="299"/>
      <c r="DL265" s="299"/>
      <c r="DM265" s="299"/>
      <c r="DN265" s="299"/>
      <c r="DO265" s="299"/>
      <c r="DP265" s="299"/>
      <c r="DQ265" s="299"/>
      <c r="DR265" s="299"/>
      <c r="DS265" s="298"/>
      <c r="DT265" s="298"/>
      <c r="DU265" s="298"/>
      <c r="DV265" s="298"/>
      <c r="DW265" s="298"/>
      <c r="DX265" s="298"/>
      <c r="DY265" s="298"/>
      <c r="DZ265" s="298"/>
      <c r="EA265" s="298"/>
      <c r="EB265" s="298"/>
      <c r="EC265" s="298"/>
      <c r="ED265" s="298"/>
      <c r="EE265" s="298"/>
      <c r="EF265" s="298"/>
      <c r="EG265" s="298"/>
    </row>
    <row r="266" spans="49:137" ht="11.75" customHeight="1" x14ac:dyDescent="0.15">
      <c r="AW266" s="298"/>
      <c r="AX266" s="298"/>
      <c r="AY266" s="298"/>
      <c r="AZ266" s="298"/>
      <c r="BA266" s="298"/>
      <c r="BB266" s="298"/>
      <c r="BC266" s="298"/>
      <c r="BD266" s="298"/>
      <c r="BE266" s="298"/>
      <c r="BF266" s="298"/>
      <c r="BG266" s="298"/>
      <c r="BH266" s="298"/>
      <c r="BI266" s="298"/>
      <c r="BJ266" s="298"/>
      <c r="BK266" s="298"/>
      <c r="BL266" s="298"/>
      <c r="BM266" s="298"/>
      <c r="BN266" s="298"/>
      <c r="BO266" s="298"/>
      <c r="BP266" s="298"/>
      <c r="BQ266" s="298"/>
      <c r="BR266" s="298"/>
      <c r="BS266" s="298"/>
      <c r="BT266" s="298"/>
      <c r="BU266" s="298"/>
      <c r="BV266" s="298"/>
      <c r="BW266" s="298"/>
      <c r="BX266" s="299"/>
      <c r="BY266" s="299"/>
      <c r="BZ266" s="299"/>
      <c r="CA266" s="299"/>
      <c r="CB266" s="299"/>
      <c r="CC266" s="299"/>
      <c r="CD266" s="299"/>
      <c r="CE266" s="299"/>
      <c r="CF266" s="299"/>
      <c r="CG266" s="299"/>
      <c r="CH266" s="299"/>
      <c r="CI266" s="299"/>
      <c r="CJ266" s="299"/>
      <c r="CK266" s="299"/>
      <c r="CL266" s="299"/>
      <c r="CM266" s="299"/>
      <c r="CN266" s="299"/>
      <c r="CO266" s="299"/>
      <c r="CP266" s="299"/>
      <c r="CQ266" s="299"/>
      <c r="CR266" s="299"/>
      <c r="CS266" s="299"/>
      <c r="CT266" s="299"/>
      <c r="CU266" s="299"/>
      <c r="CV266" s="299"/>
      <c r="CW266" s="299"/>
      <c r="CX266" s="299"/>
      <c r="CY266" s="299"/>
      <c r="CZ266" s="299"/>
      <c r="DA266" s="299"/>
      <c r="DB266" s="299"/>
      <c r="DC266" s="299"/>
      <c r="DD266" s="299"/>
      <c r="DE266" s="299"/>
      <c r="DF266" s="299"/>
      <c r="DG266" s="299"/>
      <c r="DH266" s="299"/>
      <c r="DI266" s="299"/>
      <c r="DJ266" s="299"/>
      <c r="DK266" s="299"/>
      <c r="DL266" s="299"/>
      <c r="DM266" s="299"/>
      <c r="DN266" s="299"/>
      <c r="DO266" s="299"/>
      <c r="DP266" s="299"/>
      <c r="DQ266" s="299"/>
      <c r="DR266" s="299"/>
      <c r="DS266" s="298"/>
      <c r="DT266" s="298"/>
      <c r="DU266" s="298"/>
      <c r="DV266" s="298"/>
      <c r="DW266" s="298"/>
      <c r="DX266" s="298"/>
      <c r="DY266" s="298"/>
      <c r="DZ266" s="298"/>
      <c r="EA266" s="298"/>
      <c r="EB266" s="298"/>
      <c r="EC266" s="298"/>
      <c r="ED266" s="298"/>
      <c r="EE266" s="298"/>
      <c r="EF266" s="298"/>
      <c r="EG266" s="298"/>
    </row>
    <row r="267" spans="49:137" ht="11.75" customHeight="1" x14ac:dyDescent="0.15">
      <c r="AW267" s="298"/>
      <c r="AX267" s="298"/>
      <c r="AY267" s="298"/>
      <c r="AZ267" s="298"/>
      <c r="BA267" s="298"/>
      <c r="BB267" s="298"/>
      <c r="BC267" s="298"/>
      <c r="BD267" s="298"/>
      <c r="BE267" s="298"/>
      <c r="BF267" s="298"/>
      <c r="BG267" s="298"/>
      <c r="BH267" s="298"/>
      <c r="BI267" s="298"/>
      <c r="BJ267" s="298"/>
      <c r="BK267" s="298"/>
      <c r="BL267" s="298"/>
      <c r="BM267" s="298"/>
      <c r="BN267" s="298"/>
      <c r="BO267" s="298"/>
      <c r="BP267" s="298"/>
      <c r="BQ267" s="298"/>
      <c r="BR267" s="298"/>
      <c r="BS267" s="298"/>
      <c r="BT267" s="298"/>
      <c r="BU267" s="298"/>
      <c r="BV267" s="298"/>
      <c r="BW267" s="298"/>
      <c r="BX267" s="299"/>
      <c r="BY267" s="299"/>
      <c r="BZ267" s="299"/>
      <c r="CA267" s="299"/>
      <c r="CB267" s="299"/>
      <c r="CC267" s="299"/>
      <c r="CD267" s="299"/>
      <c r="CE267" s="299"/>
      <c r="CF267" s="299"/>
      <c r="CG267" s="299"/>
      <c r="CH267" s="299"/>
      <c r="CI267" s="299"/>
      <c r="CJ267" s="299"/>
      <c r="CK267" s="299"/>
      <c r="CL267" s="299"/>
      <c r="CM267" s="299"/>
      <c r="CN267" s="299"/>
      <c r="CO267" s="299"/>
      <c r="CP267" s="299"/>
      <c r="CQ267" s="299"/>
      <c r="CR267" s="299"/>
      <c r="CS267" s="299"/>
      <c r="CT267" s="299"/>
      <c r="CU267" s="299"/>
      <c r="CV267" s="299"/>
      <c r="CW267" s="299"/>
      <c r="CX267" s="299"/>
      <c r="CY267" s="299"/>
      <c r="CZ267" s="299"/>
      <c r="DA267" s="299"/>
      <c r="DB267" s="299"/>
      <c r="DC267" s="299"/>
      <c r="DD267" s="299"/>
      <c r="DE267" s="299"/>
      <c r="DF267" s="299"/>
      <c r="DG267" s="299"/>
      <c r="DH267" s="299"/>
      <c r="DI267" s="299"/>
      <c r="DJ267" s="299"/>
      <c r="DK267" s="299"/>
      <c r="DL267" s="299"/>
      <c r="DM267" s="299"/>
      <c r="DN267" s="299"/>
      <c r="DO267" s="299"/>
      <c r="DP267" s="299"/>
      <c r="DQ267" s="299"/>
      <c r="DR267" s="299"/>
      <c r="DS267" s="298"/>
      <c r="DT267" s="298"/>
      <c r="DU267" s="298"/>
      <c r="DV267" s="298"/>
      <c r="DW267" s="298"/>
      <c r="DX267" s="298"/>
      <c r="DY267" s="298"/>
      <c r="DZ267" s="298"/>
      <c r="EA267" s="298"/>
      <c r="EB267" s="298"/>
      <c r="EC267" s="298"/>
      <c r="ED267" s="298"/>
      <c r="EE267" s="298"/>
      <c r="EF267" s="298"/>
      <c r="EG267" s="298"/>
    </row>
    <row r="268" spans="49:137" ht="11.75" customHeight="1" x14ac:dyDescent="0.15">
      <c r="AW268" s="298"/>
      <c r="AX268" s="298"/>
      <c r="AY268" s="298"/>
      <c r="AZ268" s="298"/>
      <c r="BA268" s="298"/>
      <c r="BB268" s="298"/>
      <c r="BC268" s="298"/>
      <c r="BD268" s="298"/>
      <c r="BE268" s="298"/>
      <c r="BF268" s="298"/>
      <c r="BG268" s="298"/>
      <c r="BH268" s="298"/>
      <c r="BI268" s="298"/>
      <c r="BJ268" s="298"/>
      <c r="BK268" s="298"/>
      <c r="BL268" s="298"/>
      <c r="BM268" s="298"/>
      <c r="BN268" s="298"/>
      <c r="BO268" s="298"/>
      <c r="BP268" s="298"/>
      <c r="BQ268" s="298"/>
      <c r="BR268" s="298"/>
      <c r="BS268" s="298"/>
      <c r="BT268" s="298"/>
      <c r="BU268" s="298"/>
      <c r="BV268" s="298"/>
      <c r="BW268" s="298"/>
      <c r="BX268" s="299"/>
      <c r="BY268" s="299"/>
      <c r="BZ268" s="299"/>
      <c r="CA268" s="299"/>
      <c r="CB268" s="299"/>
      <c r="CC268" s="299"/>
      <c r="CD268" s="299"/>
      <c r="CE268" s="299"/>
      <c r="CF268" s="299"/>
      <c r="CG268" s="299"/>
      <c r="CH268" s="299"/>
      <c r="CI268" s="299"/>
      <c r="CJ268" s="299"/>
      <c r="CK268" s="299"/>
      <c r="CL268" s="299"/>
      <c r="CM268" s="299"/>
      <c r="CN268" s="299"/>
      <c r="CO268" s="299"/>
      <c r="CP268" s="299"/>
      <c r="CQ268" s="299"/>
      <c r="CR268" s="299"/>
      <c r="CS268" s="299"/>
      <c r="CT268" s="299"/>
      <c r="CU268" s="299"/>
      <c r="CV268" s="299"/>
      <c r="CW268" s="299"/>
      <c r="CX268" s="299"/>
      <c r="CY268" s="299"/>
      <c r="CZ268" s="299"/>
      <c r="DA268" s="299"/>
      <c r="DB268" s="299"/>
      <c r="DC268" s="299"/>
      <c r="DD268" s="299"/>
      <c r="DE268" s="299"/>
      <c r="DF268" s="299"/>
      <c r="DG268" s="299"/>
      <c r="DH268" s="299"/>
      <c r="DI268" s="299"/>
      <c r="DJ268" s="299"/>
      <c r="DK268" s="299"/>
      <c r="DL268" s="299"/>
      <c r="DM268" s="299"/>
      <c r="DN268" s="299"/>
      <c r="DO268" s="299"/>
      <c r="DP268" s="299"/>
      <c r="DQ268" s="299"/>
      <c r="DR268" s="299"/>
      <c r="DS268" s="298"/>
      <c r="DT268" s="298"/>
      <c r="DU268" s="298"/>
      <c r="DV268" s="298"/>
      <c r="DW268" s="298"/>
      <c r="DX268" s="298"/>
      <c r="DY268" s="298"/>
      <c r="DZ268" s="298"/>
      <c r="EA268" s="298"/>
      <c r="EB268" s="298"/>
      <c r="EC268" s="298"/>
      <c r="ED268" s="298"/>
      <c r="EE268" s="298"/>
      <c r="EF268" s="298"/>
      <c r="EG268" s="298"/>
    </row>
    <row r="269" spans="49:137" ht="11.75" customHeight="1" x14ac:dyDescent="0.15">
      <c r="AW269" s="298"/>
      <c r="AX269" s="298"/>
      <c r="AY269" s="298"/>
      <c r="AZ269" s="298"/>
      <c r="BA269" s="298"/>
      <c r="BB269" s="298"/>
      <c r="BC269" s="298"/>
      <c r="BD269" s="298"/>
      <c r="BE269" s="298"/>
      <c r="BF269" s="298"/>
      <c r="BG269" s="298"/>
      <c r="BH269" s="298"/>
      <c r="BI269" s="298"/>
      <c r="BJ269" s="298"/>
      <c r="BK269" s="298"/>
      <c r="BL269" s="298"/>
      <c r="BM269" s="298"/>
      <c r="BN269" s="298"/>
      <c r="BO269" s="298"/>
      <c r="BP269" s="298"/>
      <c r="BQ269" s="298"/>
      <c r="BR269" s="298"/>
      <c r="BS269" s="298"/>
      <c r="BT269" s="298"/>
      <c r="BU269" s="298"/>
      <c r="BV269" s="298"/>
      <c r="BW269" s="298"/>
      <c r="BX269" s="299"/>
      <c r="BY269" s="299"/>
      <c r="BZ269" s="299"/>
      <c r="CA269" s="299"/>
      <c r="CB269" s="299"/>
      <c r="CC269" s="299"/>
      <c r="CD269" s="299"/>
      <c r="CE269" s="299"/>
      <c r="CF269" s="299"/>
      <c r="CG269" s="299"/>
      <c r="CH269" s="299"/>
      <c r="CI269" s="299"/>
      <c r="CJ269" s="299"/>
      <c r="CK269" s="299"/>
      <c r="CL269" s="299"/>
      <c r="CM269" s="299"/>
      <c r="CN269" s="299"/>
      <c r="CO269" s="299"/>
      <c r="CP269" s="299"/>
      <c r="CQ269" s="299"/>
      <c r="CR269" s="299"/>
      <c r="CS269" s="299"/>
      <c r="CT269" s="299"/>
      <c r="CU269" s="299"/>
      <c r="CV269" s="299"/>
      <c r="CW269" s="299"/>
      <c r="CX269" s="299"/>
      <c r="CY269" s="299"/>
      <c r="CZ269" s="299"/>
      <c r="DA269" s="299"/>
      <c r="DB269" s="299"/>
      <c r="DC269" s="299"/>
      <c r="DD269" s="299"/>
      <c r="DE269" s="299"/>
      <c r="DF269" s="299"/>
      <c r="DG269" s="299"/>
      <c r="DH269" s="299"/>
      <c r="DI269" s="299"/>
      <c r="DJ269" s="299"/>
      <c r="DK269" s="299"/>
      <c r="DL269" s="299"/>
      <c r="DM269" s="299"/>
      <c r="DN269" s="299"/>
      <c r="DO269" s="299"/>
      <c r="DP269" s="299"/>
      <c r="DQ269" s="299"/>
      <c r="DR269" s="299"/>
      <c r="DS269" s="298"/>
      <c r="DT269" s="298"/>
      <c r="DU269" s="298"/>
      <c r="DV269" s="298"/>
      <c r="DW269" s="298"/>
      <c r="DX269" s="298"/>
      <c r="DY269" s="298"/>
      <c r="DZ269" s="298"/>
      <c r="EA269" s="298"/>
      <c r="EB269" s="298"/>
      <c r="EC269" s="298"/>
      <c r="ED269" s="298"/>
      <c r="EE269" s="298"/>
      <c r="EF269" s="298"/>
      <c r="EG269" s="298"/>
    </row>
    <row r="270" spans="49:137" ht="11.75" customHeight="1" x14ac:dyDescent="0.15">
      <c r="AW270" s="298"/>
      <c r="AX270" s="298"/>
      <c r="AY270" s="298"/>
      <c r="AZ270" s="298"/>
      <c r="BA270" s="298"/>
      <c r="BB270" s="298"/>
      <c r="BC270" s="298"/>
      <c r="BD270" s="298"/>
      <c r="BE270" s="298"/>
      <c r="BF270" s="298"/>
      <c r="BG270" s="298"/>
      <c r="BH270" s="298"/>
      <c r="BI270" s="298"/>
      <c r="BJ270" s="298"/>
      <c r="BK270" s="298"/>
      <c r="BL270" s="298"/>
      <c r="BM270" s="298"/>
      <c r="BN270" s="298"/>
      <c r="BO270" s="298"/>
      <c r="BP270" s="298"/>
      <c r="BQ270" s="298"/>
      <c r="BR270" s="298"/>
      <c r="BS270" s="298"/>
      <c r="BT270" s="298"/>
      <c r="BU270" s="298"/>
      <c r="BV270" s="298"/>
      <c r="BW270" s="298"/>
      <c r="BX270" s="299"/>
      <c r="BY270" s="299"/>
      <c r="BZ270" s="299"/>
      <c r="CA270" s="299"/>
      <c r="CB270" s="299"/>
      <c r="CC270" s="299"/>
      <c r="CD270" s="299"/>
      <c r="CE270" s="299"/>
      <c r="CF270" s="299"/>
      <c r="CG270" s="299"/>
      <c r="CH270" s="299"/>
      <c r="CI270" s="299"/>
      <c r="CJ270" s="299"/>
      <c r="CK270" s="299"/>
      <c r="CL270" s="299"/>
      <c r="CM270" s="299"/>
      <c r="CN270" s="299"/>
      <c r="CO270" s="299"/>
      <c r="CP270" s="299"/>
      <c r="CQ270" s="299"/>
      <c r="CR270" s="299"/>
      <c r="CS270" s="299"/>
      <c r="CT270" s="299"/>
      <c r="CU270" s="299"/>
      <c r="CV270" s="299"/>
      <c r="CW270" s="299"/>
      <c r="CX270" s="299"/>
      <c r="CY270" s="299"/>
      <c r="CZ270" s="299"/>
      <c r="DA270" s="299"/>
      <c r="DB270" s="299"/>
      <c r="DC270" s="299"/>
      <c r="DD270" s="299"/>
      <c r="DE270" s="299"/>
      <c r="DF270" s="299"/>
      <c r="DG270" s="299"/>
      <c r="DH270" s="299"/>
      <c r="DI270" s="299"/>
      <c r="DJ270" s="299"/>
      <c r="DK270" s="299"/>
      <c r="DL270" s="299"/>
      <c r="DM270" s="299"/>
      <c r="DN270" s="299"/>
      <c r="DO270" s="299"/>
      <c r="DP270" s="299"/>
      <c r="DQ270" s="299"/>
      <c r="DR270" s="299"/>
      <c r="DS270" s="298"/>
      <c r="DT270" s="298"/>
      <c r="DU270" s="298"/>
      <c r="DV270" s="298"/>
      <c r="DW270" s="298"/>
      <c r="DX270" s="298"/>
      <c r="DY270" s="298"/>
      <c r="DZ270" s="298"/>
      <c r="EA270" s="298"/>
      <c r="EB270" s="298"/>
      <c r="EC270" s="298"/>
      <c r="ED270" s="298"/>
      <c r="EE270" s="298"/>
      <c r="EF270" s="298"/>
      <c r="EG270" s="298"/>
    </row>
    <row r="271" spans="49:137" ht="11.75" customHeight="1" x14ac:dyDescent="0.15">
      <c r="AW271" s="298"/>
      <c r="AX271" s="298"/>
      <c r="AY271" s="298"/>
      <c r="AZ271" s="298"/>
      <c r="BA271" s="298"/>
      <c r="BB271" s="298"/>
      <c r="BC271" s="298"/>
      <c r="BD271" s="298"/>
      <c r="BE271" s="298"/>
      <c r="BF271" s="298"/>
      <c r="BG271" s="298"/>
      <c r="BH271" s="298"/>
      <c r="BI271" s="298"/>
      <c r="BJ271" s="298"/>
      <c r="BK271" s="298"/>
      <c r="BL271" s="298"/>
      <c r="BM271" s="298"/>
      <c r="BN271" s="298"/>
      <c r="BO271" s="298"/>
      <c r="BP271" s="298"/>
      <c r="BQ271" s="298"/>
      <c r="BR271" s="298"/>
      <c r="BS271" s="298"/>
      <c r="BT271" s="298"/>
      <c r="BU271" s="298"/>
      <c r="BV271" s="298"/>
      <c r="BW271" s="298"/>
      <c r="BX271" s="299"/>
      <c r="BY271" s="299"/>
      <c r="BZ271" s="299"/>
      <c r="CA271" s="299"/>
      <c r="CB271" s="299"/>
      <c r="CC271" s="299"/>
      <c r="CD271" s="299"/>
      <c r="CE271" s="299"/>
      <c r="CF271" s="299"/>
      <c r="CG271" s="299"/>
      <c r="CH271" s="299"/>
      <c r="CI271" s="299"/>
      <c r="CJ271" s="299"/>
      <c r="CK271" s="299"/>
      <c r="CL271" s="299"/>
      <c r="CM271" s="299"/>
      <c r="CN271" s="299"/>
      <c r="CO271" s="299"/>
      <c r="CP271" s="299"/>
      <c r="CQ271" s="299"/>
      <c r="CR271" s="299"/>
      <c r="CS271" s="299"/>
      <c r="CT271" s="299"/>
      <c r="CU271" s="299"/>
      <c r="CV271" s="299"/>
      <c r="CW271" s="299"/>
      <c r="CX271" s="299"/>
      <c r="CY271" s="299"/>
      <c r="CZ271" s="299"/>
      <c r="DA271" s="299"/>
      <c r="DB271" s="299"/>
      <c r="DC271" s="299"/>
      <c r="DD271" s="299"/>
      <c r="DE271" s="299"/>
      <c r="DF271" s="299"/>
      <c r="DG271" s="299"/>
      <c r="DH271" s="299"/>
      <c r="DI271" s="299"/>
      <c r="DJ271" s="299"/>
      <c r="DK271" s="299"/>
      <c r="DL271" s="299"/>
      <c r="DM271" s="299"/>
      <c r="DN271" s="299"/>
      <c r="DO271" s="299"/>
      <c r="DP271" s="299"/>
      <c r="DQ271" s="299"/>
      <c r="DR271" s="299"/>
      <c r="DS271" s="298"/>
      <c r="DT271" s="298"/>
      <c r="DU271" s="298"/>
      <c r="DV271" s="298"/>
      <c r="DW271" s="298"/>
      <c r="DX271" s="298"/>
      <c r="DY271" s="298"/>
      <c r="DZ271" s="298"/>
      <c r="EA271" s="298"/>
      <c r="EB271" s="298"/>
      <c r="EC271" s="298"/>
      <c r="ED271" s="298"/>
      <c r="EE271" s="298"/>
      <c r="EF271" s="298"/>
      <c r="EG271" s="298"/>
    </row>
    <row r="272" spans="49:137" ht="11.75" customHeight="1" x14ac:dyDescent="0.15">
      <c r="AW272" s="298"/>
      <c r="AX272" s="298"/>
      <c r="AY272" s="298"/>
      <c r="AZ272" s="298"/>
      <c r="BA272" s="298"/>
      <c r="BB272" s="298"/>
      <c r="BC272" s="298"/>
      <c r="BD272" s="298"/>
      <c r="BE272" s="298"/>
      <c r="BF272" s="298"/>
      <c r="BG272" s="298"/>
      <c r="BH272" s="298"/>
      <c r="BI272" s="298"/>
      <c r="BJ272" s="298"/>
      <c r="BK272" s="298"/>
      <c r="BL272" s="298"/>
      <c r="BM272" s="298"/>
      <c r="BN272" s="298"/>
      <c r="BO272" s="298"/>
      <c r="BP272" s="298"/>
      <c r="BQ272" s="298"/>
      <c r="BR272" s="298"/>
      <c r="BS272" s="298"/>
      <c r="BT272" s="298"/>
      <c r="BU272" s="298"/>
      <c r="BV272" s="298"/>
      <c r="BW272" s="298"/>
      <c r="BX272" s="299"/>
      <c r="BY272" s="299"/>
      <c r="BZ272" s="299"/>
      <c r="CA272" s="299"/>
      <c r="CB272" s="299"/>
      <c r="CC272" s="299"/>
      <c r="CD272" s="299"/>
      <c r="CE272" s="299"/>
      <c r="CF272" s="299"/>
      <c r="CG272" s="299"/>
      <c r="CH272" s="299"/>
      <c r="CI272" s="299"/>
      <c r="CJ272" s="299"/>
      <c r="CK272" s="299"/>
      <c r="CL272" s="299"/>
      <c r="CM272" s="299"/>
      <c r="CN272" s="299"/>
      <c r="CO272" s="299"/>
      <c r="CP272" s="299"/>
      <c r="CQ272" s="299"/>
      <c r="CR272" s="299"/>
      <c r="CS272" s="299"/>
      <c r="CT272" s="299"/>
      <c r="CU272" s="299"/>
      <c r="CV272" s="299"/>
      <c r="CW272" s="299"/>
      <c r="CX272" s="299"/>
      <c r="CY272" s="299"/>
      <c r="CZ272" s="299"/>
      <c r="DA272" s="299"/>
      <c r="DB272" s="299"/>
      <c r="DC272" s="299"/>
      <c r="DD272" s="299"/>
      <c r="DE272" s="299"/>
      <c r="DF272" s="299"/>
      <c r="DG272" s="299"/>
      <c r="DH272" s="299"/>
      <c r="DI272" s="299"/>
      <c r="DJ272" s="299"/>
      <c r="DK272" s="299"/>
      <c r="DL272" s="299"/>
      <c r="DM272" s="299"/>
      <c r="DN272" s="299"/>
      <c r="DO272" s="299"/>
      <c r="DP272" s="299"/>
      <c r="DQ272" s="299"/>
      <c r="DR272" s="299"/>
      <c r="DS272" s="298"/>
      <c r="DT272" s="298"/>
      <c r="DU272" s="298"/>
      <c r="DV272" s="298"/>
      <c r="DW272" s="298"/>
      <c r="DX272" s="298"/>
      <c r="DY272" s="298"/>
      <c r="DZ272" s="298"/>
      <c r="EA272" s="298"/>
      <c r="EB272" s="298"/>
      <c r="EC272" s="298"/>
      <c r="ED272" s="298"/>
      <c r="EE272" s="298"/>
      <c r="EF272" s="298"/>
      <c r="EG272" s="298"/>
    </row>
    <row r="273" spans="7:137" ht="11.75" customHeight="1" x14ac:dyDescent="0.15">
      <c r="AW273" s="298"/>
      <c r="AX273" s="298"/>
      <c r="AY273" s="298"/>
      <c r="AZ273" s="298"/>
      <c r="BA273" s="298"/>
      <c r="BB273" s="298"/>
      <c r="BC273" s="298"/>
      <c r="BD273" s="298"/>
      <c r="BE273" s="298"/>
      <c r="BF273" s="298"/>
      <c r="BG273" s="298"/>
      <c r="BH273" s="298"/>
      <c r="BI273" s="298"/>
      <c r="BJ273" s="298"/>
      <c r="BK273" s="298"/>
      <c r="BL273" s="298"/>
      <c r="BM273" s="298"/>
      <c r="BN273" s="298"/>
      <c r="BO273" s="298"/>
      <c r="BP273" s="298"/>
      <c r="BQ273" s="298"/>
      <c r="BR273" s="298"/>
      <c r="BS273" s="298"/>
      <c r="BT273" s="298"/>
      <c r="BU273" s="298"/>
      <c r="BV273" s="298"/>
      <c r="BW273" s="298"/>
      <c r="BX273" s="299"/>
      <c r="BY273" s="299"/>
      <c r="BZ273" s="299"/>
      <c r="CA273" s="299"/>
      <c r="CB273" s="299"/>
      <c r="CC273" s="299"/>
      <c r="CD273" s="299"/>
      <c r="CE273" s="299"/>
      <c r="CF273" s="299"/>
      <c r="CG273" s="299"/>
      <c r="CH273" s="299"/>
      <c r="CI273" s="299"/>
      <c r="CJ273" s="299"/>
      <c r="CK273" s="299"/>
      <c r="CL273" s="299"/>
      <c r="CM273" s="299"/>
      <c r="CN273" s="299"/>
      <c r="CO273" s="299"/>
      <c r="CP273" s="299"/>
      <c r="CQ273" s="299"/>
      <c r="CR273" s="299"/>
      <c r="CS273" s="299"/>
      <c r="CT273" s="299"/>
      <c r="CU273" s="299"/>
      <c r="CV273" s="299"/>
      <c r="CW273" s="299"/>
      <c r="CX273" s="299"/>
      <c r="CY273" s="299"/>
      <c r="CZ273" s="299"/>
      <c r="DA273" s="299"/>
      <c r="DB273" s="299"/>
      <c r="DC273" s="299"/>
      <c r="DD273" s="299"/>
      <c r="DE273" s="299"/>
      <c r="DF273" s="299"/>
      <c r="DG273" s="299"/>
      <c r="DH273" s="299"/>
      <c r="DI273" s="299"/>
      <c r="DJ273" s="299"/>
      <c r="DK273" s="299"/>
      <c r="DL273" s="299"/>
      <c r="DM273" s="299"/>
      <c r="DN273" s="299"/>
      <c r="DO273" s="299"/>
      <c r="DP273" s="299"/>
      <c r="DQ273" s="299"/>
      <c r="DR273" s="299"/>
      <c r="DS273" s="298"/>
      <c r="DT273" s="298"/>
      <c r="DU273" s="298"/>
      <c r="DV273" s="298"/>
      <c r="DW273" s="298"/>
      <c r="DX273" s="298"/>
      <c r="DY273" s="298"/>
      <c r="DZ273" s="298"/>
      <c r="EA273" s="298"/>
      <c r="EB273" s="298"/>
      <c r="EC273" s="298"/>
      <c r="ED273" s="298"/>
      <c r="EE273" s="298"/>
      <c r="EF273" s="298"/>
      <c r="EG273" s="298"/>
    </row>
    <row r="274" spans="7:137" ht="11.75" customHeight="1" x14ac:dyDescent="0.15">
      <c r="AW274" s="298"/>
      <c r="AX274" s="298"/>
      <c r="AY274" s="298"/>
      <c r="AZ274" s="298"/>
      <c r="BA274" s="298"/>
      <c r="BB274" s="298"/>
      <c r="BC274" s="298"/>
      <c r="BD274" s="298"/>
      <c r="BE274" s="298"/>
      <c r="BF274" s="298"/>
      <c r="BG274" s="298"/>
      <c r="BH274" s="298"/>
      <c r="BI274" s="298"/>
      <c r="BJ274" s="298"/>
      <c r="BK274" s="298"/>
      <c r="BL274" s="298"/>
      <c r="BM274" s="298"/>
      <c r="BN274" s="298"/>
      <c r="BO274" s="298"/>
      <c r="BP274" s="298"/>
      <c r="BQ274" s="298"/>
      <c r="BR274" s="298"/>
      <c r="BS274" s="298"/>
      <c r="BT274" s="298"/>
      <c r="BU274" s="298"/>
      <c r="BV274" s="298"/>
      <c r="BW274" s="298"/>
      <c r="BX274" s="299"/>
      <c r="BY274" s="299"/>
      <c r="BZ274" s="299"/>
      <c r="CA274" s="299"/>
      <c r="CB274" s="299"/>
      <c r="CC274" s="299"/>
      <c r="CD274" s="299"/>
      <c r="CE274" s="299"/>
      <c r="CF274" s="299"/>
      <c r="CG274" s="299"/>
      <c r="CH274" s="299"/>
      <c r="CI274" s="299"/>
      <c r="CJ274" s="299"/>
      <c r="CK274" s="299"/>
      <c r="CL274" s="299"/>
      <c r="CM274" s="299"/>
      <c r="CN274" s="299"/>
      <c r="CO274" s="299"/>
      <c r="CP274" s="299"/>
      <c r="CQ274" s="299"/>
      <c r="CR274" s="299"/>
      <c r="CS274" s="299"/>
      <c r="CT274" s="299"/>
      <c r="CU274" s="299"/>
      <c r="CV274" s="299"/>
      <c r="CW274" s="299"/>
      <c r="CX274" s="299"/>
      <c r="CY274" s="299"/>
      <c r="CZ274" s="299"/>
      <c r="DA274" s="299"/>
      <c r="DB274" s="299"/>
      <c r="DC274" s="299"/>
      <c r="DD274" s="299"/>
      <c r="DE274" s="299"/>
      <c r="DF274" s="299"/>
      <c r="DG274" s="299"/>
      <c r="DH274" s="299"/>
      <c r="DI274" s="299"/>
      <c r="DJ274" s="299"/>
      <c r="DK274" s="299"/>
      <c r="DL274" s="299"/>
      <c r="DM274" s="299"/>
      <c r="DN274" s="299"/>
      <c r="DO274" s="299"/>
      <c r="DP274" s="299"/>
      <c r="DQ274" s="299"/>
      <c r="DR274" s="299"/>
      <c r="DS274" s="298"/>
      <c r="DT274" s="298"/>
      <c r="DU274" s="298"/>
      <c r="DV274" s="298"/>
      <c r="DW274" s="298"/>
      <c r="DX274" s="298"/>
      <c r="DY274" s="298"/>
      <c r="DZ274" s="298"/>
      <c r="EA274" s="298"/>
      <c r="EB274" s="298"/>
      <c r="EC274" s="298"/>
      <c r="ED274" s="298"/>
      <c r="EE274" s="298"/>
      <c r="EF274" s="298"/>
      <c r="EG274" s="298"/>
    </row>
    <row r="275" spans="7:137" ht="11.75" customHeight="1" x14ac:dyDescent="0.15">
      <c r="AW275" s="298"/>
      <c r="AX275" s="298"/>
      <c r="AY275" s="298"/>
      <c r="AZ275" s="298"/>
      <c r="BA275" s="298"/>
      <c r="BB275" s="298"/>
      <c r="BC275" s="298"/>
      <c r="BD275" s="298"/>
      <c r="BE275" s="298"/>
      <c r="BF275" s="298"/>
      <c r="BG275" s="298"/>
      <c r="BH275" s="298"/>
      <c r="BI275" s="298"/>
      <c r="BJ275" s="298"/>
      <c r="BK275" s="298"/>
      <c r="BL275" s="298"/>
      <c r="BM275" s="298"/>
      <c r="BN275" s="298"/>
      <c r="BO275" s="298"/>
      <c r="BP275" s="298"/>
      <c r="BQ275" s="298"/>
      <c r="BR275" s="298"/>
      <c r="BS275" s="298"/>
      <c r="BT275" s="298"/>
      <c r="BU275" s="298"/>
      <c r="BV275" s="298"/>
      <c r="BW275" s="298"/>
      <c r="BX275" s="299"/>
      <c r="BY275" s="299"/>
      <c r="BZ275" s="299"/>
      <c r="CA275" s="299"/>
      <c r="CB275" s="299"/>
      <c r="CC275" s="299"/>
      <c r="CD275" s="299"/>
      <c r="CE275" s="299"/>
      <c r="CF275" s="299"/>
      <c r="CG275" s="299"/>
      <c r="CH275" s="299"/>
      <c r="CI275" s="299"/>
      <c r="CJ275" s="299"/>
      <c r="CK275" s="299"/>
      <c r="CL275" s="299"/>
      <c r="CM275" s="299"/>
      <c r="CN275" s="299"/>
      <c r="CO275" s="299"/>
      <c r="CP275" s="299"/>
      <c r="CQ275" s="299"/>
      <c r="CR275" s="299"/>
      <c r="CS275" s="299"/>
      <c r="CT275" s="299"/>
      <c r="CU275" s="299"/>
      <c r="CV275" s="299"/>
      <c r="CW275" s="299"/>
      <c r="CX275" s="299"/>
      <c r="CY275" s="299"/>
      <c r="CZ275" s="299"/>
      <c r="DA275" s="299"/>
      <c r="DB275" s="299"/>
      <c r="DC275" s="299"/>
      <c r="DD275" s="299"/>
      <c r="DE275" s="299"/>
      <c r="DF275" s="299"/>
      <c r="DG275" s="299"/>
      <c r="DH275" s="299"/>
      <c r="DI275" s="299"/>
      <c r="DJ275" s="299"/>
      <c r="DK275" s="299"/>
      <c r="DL275" s="299"/>
      <c r="DM275" s="299"/>
      <c r="DN275" s="299"/>
      <c r="DO275" s="299"/>
      <c r="DP275" s="299"/>
      <c r="DQ275" s="299"/>
      <c r="DR275" s="299"/>
      <c r="DS275" s="298"/>
      <c r="DT275" s="298"/>
      <c r="DU275" s="298"/>
      <c r="DV275" s="298"/>
      <c r="DW275" s="298"/>
      <c r="DX275" s="298"/>
      <c r="DY275" s="298"/>
      <c r="DZ275" s="298"/>
      <c r="EA275" s="298"/>
      <c r="EB275" s="298"/>
      <c r="EC275" s="298"/>
      <c r="ED275" s="298"/>
      <c r="EE275" s="298"/>
      <c r="EF275" s="298"/>
      <c r="EG275" s="298"/>
    </row>
    <row r="276" spans="7:137" ht="11.75" customHeight="1" x14ac:dyDescent="0.15">
      <c r="AW276" s="298"/>
      <c r="AX276" s="298"/>
      <c r="AY276" s="298"/>
      <c r="AZ276" s="298"/>
      <c r="BA276" s="298"/>
      <c r="BB276" s="298"/>
      <c r="BC276" s="298"/>
      <c r="BD276" s="298"/>
      <c r="BE276" s="298"/>
      <c r="BF276" s="298"/>
      <c r="BG276" s="298"/>
      <c r="BH276" s="298"/>
      <c r="BI276" s="298"/>
      <c r="BJ276" s="298"/>
      <c r="BK276" s="298"/>
      <c r="BL276" s="298"/>
      <c r="BM276" s="298"/>
      <c r="BN276" s="298"/>
      <c r="BO276" s="298"/>
      <c r="BP276" s="298"/>
      <c r="BQ276" s="298"/>
      <c r="BR276" s="298"/>
      <c r="BS276" s="298"/>
      <c r="BT276" s="298"/>
      <c r="BU276" s="298"/>
      <c r="BV276" s="298"/>
      <c r="BW276" s="298"/>
      <c r="BX276" s="299"/>
      <c r="BY276" s="299"/>
      <c r="BZ276" s="299"/>
      <c r="CA276" s="299"/>
      <c r="CB276" s="299"/>
      <c r="CC276" s="299"/>
      <c r="CD276" s="299"/>
      <c r="CE276" s="299"/>
      <c r="CF276" s="299"/>
      <c r="CG276" s="299"/>
      <c r="CH276" s="299"/>
      <c r="CI276" s="299"/>
      <c r="CJ276" s="299"/>
      <c r="CK276" s="299"/>
      <c r="CL276" s="299"/>
      <c r="CM276" s="299"/>
      <c r="CN276" s="299"/>
      <c r="CO276" s="299"/>
      <c r="CP276" s="299"/>
      <c r="CQ276" s="299"/>
      <c r="CR276" s="299"/>
      <c r="CS276" s="299"/>
      <c r="CT276" s="299"/>
      <c r="CU276" s="299"/>
      <c r="CV276" s="299"/>
      <c r="CW276" s="299"/>
      <c r="CX276" s="299"/>
      <c r="CY276" s="299"/>
      <c r="CZ276" s="299"/>
      <c r="DA276" s="299"/>
      <c r="DB276" s="299"/>
      <c r="DC276" s="299"/>
      <c r="DD276" s="299"/>
      <c r="DE276" s="299"/>
      <c r="DF276" s="299"/>
      <c r="DG276" s="299"/>
      <c r="DH276" s="299"/>
      <c r="DI276" s="299"/>
      <c r="DJ276" s="299"/>
      <c r="DK276" s="299"/>
      <c r="DL276" s="299"/>
      <c r="DM276" s="299"/>
      <c r="DN276" s="299"/>
      <c r="DO276" s="299"/>
      <c r="DP276" s="299"/>
      <c r="DQ276" s="299"/>
      <c r="DR276" s="299"/>
      <c r="DS276" s="298"/>
      <c r="DT276" s="298"/>
      <c r="DU276" s="298"/>
      <c r="DV276" s="298"/>
      <c r="DW276" s="298"/>
      <c r="DX276" s="298"/>
      <c r="DY276" s="298"/>
      <c r="DZ276" s="298"/>
      <c r="EA276" s="298"/>
      <c r="EB276" s="298"/>
      <c r="EC276" s="298"/>
      <c r="ED276" s="298"/>
      <c r="EE276" s="298"/>
      <c r="EF276" s="298"/>
      <c r="EG276" s="298"/>
    </row>
    <row r="277" spans="7:137" ht="11.75" customHeight="1" x14ac:dyDescent="0.15">
      <c r="AW277" s="298"/>
      <c r="AX277" s="298"/>
      <c r="AY277" s="298"/>
      <c r="AZ277" s="298"/>
      <c r="BA277" s="298"/>
      <c r="BB277" s="298"/>
      <c r="BC277" s="298"/>
      <c r="BD277" s="298"/>
      <c r="BE277" s="298"/>
      <c r="BF277" s="298"/>
      <c r="BG277" s="298"/>
      <c r="BH277" s="298"/>
      <c r="BI277" s="298"/>
      <c r="BJ277" s="298"/>
      <c r="BK277" s="298"/>
      <c r="BL277" s="298"/>
      <c r="BM277" s="298"/>
      <c r="BN277" s="298"/>
      <c r="BO277" s="298"/>
      <c r="BP277" s="298"/>
      <c r="BQ277" s="298"/>
      <c r="BR277" s="298"/>
      <c r="BS277" s="298"/>
      <c r="BT277" s="298"/>
      <c r="BU277" s="298"/>
      <c r="BV277" s="298"/>
      <c r="BW277" s="298"/>
      <c r="BX277" s="299"/>
      <c r="BY277" s="299"/>
      <c r="BZ277" s="299"/>
      <c r="CA277" s="299"/>
      <c r="CB277" s="299"/>
      <c r="CC277" s="299"/>
      <c r="CD277" s="299"/>
      <c r="CE277" s="299"/>
      <c r="CF277" s="299"/>
      <c r="CG277" s="299"/>
      <c r="CH277" s="299"/>
      <c r="CI277" s="299"/>
      <c r="CJ277" s="299"/>
      <c r="CK277" s="299"/>
      <c r="CL277" s="299"/>
      <c r="CM277" s="299"/>
      <c r="CN277" s="299"/>
      <c r="CO277" s="299"/>
      <c r="CP277" s="299"/>
      <c r="CQ277" s="299"/>
      <c r="CR277" s="299"/>
      <c r="CS277" s="299"/>
      <c r="CT277" s="299"/>
      <c r="CU277" s="299"/>
      <c r="CV277" s="299"/>
      <c r="CW277" s="299"/>
      <c r="CX277" s="299"/>
      <c r="CY277" s="299"/>
      <c r="CZ277" s="299"/>
      <c r="DA277" s="299"/>
      <c r="DB277" s="299"/>
      <c r="DC277" s="299"/>
      <c r="DD277" s="299"/>
      <c r="DE277" s="299"/>
      <c r="DF277" s="299"/>
      <c r="DG277" s="299"/>
      <c r="DH277" s="299"/>
      <c r="DI277" s="299"/>
      <c r="DJ277" s="299"/>
      <c r="DK277" s="299"/>
      <c r="DL277" s="299"/>
      <c r="DM277" s="299"/>
      <c r="DN277" s="299"/>
      <c r="DO277" s="299"/>
      <c r="DP277" s="299"/>
      <c r="DQ277" s="299"/>
      <c r="DR277" s="299"/>
      <c r="DS277" s="298"/>
      <c r="DT277" s="298"/>
      <c r="DU277" s="298"/>
      <c r="DV277" s="298"/>
      <c r="DW277" s="298"/>
      <c r="DX277" s="298"/>
      <c r="DY277" s="298"/>
      <c r="DZ277" s="298"/>
      <c r="EA277" s="298"/>
      <c r="EB277" s="298"/>
      <c r="EC277" s="298"/>
      <c r="ED277" s="298"/>
      <c r="EE277" s="298"/>
      <c r="EF277" s="298"/>
      <c r="EG277" s="298"/>
    </row>
    <row r="278" spans="7:137" ht="11.75" customHeight="1" x14ac:dyDescent="0.15">
      <c r="AW278" s="298"/>
      <c r="AX278" s="298"/>
      <c r="AY278" s="298"/>
      <c r="AZ278" s="298"/>
      <c r="BA278" s="298"/>
      <c r="BB278" s="298"/>
      <c r="BC278" s="298"/>
      <c r="BD278" s="298"/>
      <c r="BE278" s="298"/>
      <c r="BF278" s="298"/>
      <c r="BG278" s="298"/>
      <c r="BH278" s="298"/>
      <c r="BI278" s="298"/>
      <c r="BJ278" s="298"/>
      <c r="BK278" s="298"/>
      <c r="BL278" s="298"/>
      <c r="BM278" s="298"/>
      <c r="BN278" s="298"/>
      <c r="BO278" s="298"/>
      <c r="BP278" s="298"/>
      <c r="BQ278" s="298"/>
      <c r="BR278" s="298"/>
      <c r="BS278" s="298"/>
      <c r="BT278" s="298"/>
      <c r="BU278" s="298"/>
      <c r="BV278" s="298"/>
      <c r="BW278" s="298"/>
      <c r="BX278" s="299"/>
      <c r="BY278" s="299"/>
      <c r="BZ278" s="299"/>
      <c r="CA278" s="299"/>
      <c r="CB278" s="299"/>
      <c r="CC278" s="299"/>
      <c r="CD278" s="299"/>
      <c r="CE278" s="299"/>
      <c r="CF278" s="299"/>
      <c r="CG278" s="299"/>
      <c r="CH278" s="299"/>
      <c r="CI278" s="299"/>
      <c r="CJ278" s="299"/>
      <c r="CK278" s="299"/>
      <c r="CL278" s="299"/>
      <c r="CM278" s="299"/>
      <c r="CN278" s="299"/>
      <c r="CO278" s="299"/>
      <c r="CP278" s="299"/>
      <c r="CQ278" s="299"/>
      <c r="CR278" s="299"/>
      <c r="CS278" s="299"/>
      <c r="CT278" s="299"/>
      <c r="CU278" s="299"/>
      <c r="CV278" s="299"/>
      <c r="CW278" s="299"/>
      <c r="CX278" s="299"/>
      <c r="CY278" s="299"/>
      <c r="CZ278" s="299"/>
      <c r="DA278" s="299"/>
      <c r="DB278" s="299"/>
      <c r="DC278" s="299"/>
      <c r="DD278" s="299"/>
      <c r="DE278" s="299"/>
      <c r="DF278" s="299"/>
      <c r="DG278" s="299"/>
      <c r="DH278" s="299"/>
      <c r="DI278" s="299"/>
      <c r="DJ278" s="299"/>
      <c r="DK278" s="299"/>
      <c r="DL278" s="299"/>
      <c r="DM278" s="299"/>
      <c r="DN278" s="299"/>
      <c r="DO278" s="299"/>
      <c r="DP278" s="299"/>
      <c r="DQ278" s="299"/>
      <c r="DR278" s="299"/>
      <c r="DS278" s="298"/>
      <c r="DT278" s="298"/>
      <c r="DU278" s="298"/>
      <c r="DV278" s="298"/>
      <c r="DW278" s="298"/>
      <c r="DX278" s="298"/>
      <c r="DY278" s="298"/>
      <c r="DZ278" s="298"/>
      <c r="EA278" s="298"/>
      <c r="EB278" s="298"/>
      <c r="EC278" s="298"/>
      <c r="ED278" s="298"/>
      <c r="EE278" s="298"/>
      <c r="EF278" s="298"/>
      <c r="EG278" s="298"/>
    </row>
    <row r="279" spans="7:137" ht="11.75" customHeight="1" x14ac:dyDescent="0.15">
      <c r="AW279" s="298"/>
      <c r="AX279" s="298"/>
      <c r="AY279" s="298"/>
      <c r="AZ279" s="298"/>
      <c r="BA279" s="298"/>
      <c r="BB279" s="298"/>
      <c r="BC279" s="298"/>
      <c r="BD279" s="298"/>
      <c r="BE279" s="298"/>
      <c r="BF279" s="298"/>
      <c r="BG279" s="298"/>
      <c r="BH279" s="298"/>
      <c r="BI279" s="298"/>
      <c r="BJ279" s="298"/>
      <c r="BK279" s="298"/>
      <c r="BL279" s="298"/>
      <c r="BM279" s="298"/>
      <c r="BN279" s="298"/>
      <c r="BO279" s="298"/>
      <c r="BP279" s="298"/>
      <c r="BQ279" s="298"/>
      <c r="BR279" s="298"/>
      <c r="BS279" s="298"/>
      <c r="BT279" s="298"/>
      <c r="BU279" s="298"/>
      <c r="BV279" s="298"/>
      <c r="BW279" s="298"/>
      <c r="BX279" s="299"/>
      <c r="BY279" s="299"/>
      <c r="BZ279" s="299"/>
      <c r="CA279" s="299"/>
      <c r="CB279" s="299"/>
      <c r="CC279" s="299"/>
      <c r="CD279" s="299"/>
      <c r="CE279" s="299"/>
      <c r="CF279" s="299"/>
      <c r="CG279" s="299"/>
      <c r="CH279" s="299"/>
      <c r="CI279" s="299"/>
      <c r="CJ279" s="299"/>
      <c r="CK279" s="299"/>
      <c r="CL279" s="299"/>
      <c r="CM279" s="299"/>
      <c r="CN279" s="299"/>
      <c r="CO279" s="299"/>
      <c r="CP279" s="299"/>
      <c r="CQ279" s="299"/>
      <c r="CR279" s="299"/>
      <c r="CS279" s="299"/>
      <c r="CT279" s="299"/>
      <c r="CU279" s="299"/>
      <c r="CV279" s="299"/>
      <c r="CW279" s="299"/>
      <c r="CX279" s="299"/>
      <c r="CY279" s="299"/>
      <c r="CZ279" s="299"/>
      <c r="DA279" s="299"/>
      <c r="DB279" s="299"/>
      <c r="DC279" s="299"/>
      <c r="DD279" s="299"/>
      <c r="DE279" s="299"/>
      <c r="DF279" s="299"/>
      <c r="DG279" s="299"/>
      <c r="DH279" s="299"/>
      <c r="DI279" s="299"/>
      <c r="DJ279" s="299"/>
      <c r="DK279" s="299"/>
      <c r="DL279" s="299"/>
      <c r="DM279" s="299"/>
      <c r="DN279" s="299"/>
      <c r="DO279" s="299"/>
      <c r="DP279" s="299"/>
      <c r="DQ279" s="299"/>
      <c r="DR279" s="299"/>
      <c r="DS279" s="298"/>
      <c r="DT279" s="298"/>
      <c r="DU279" s="298"/>
      <c r="DV279" s="298"/>
      <c r="DW279" s="298"/>
      <c r="DX279" s="298"/>
      <c r="DY279" s="298"/>
      <c r="DZ279" s="298"/>
      <c r="EA279" s="298"/>
      <c r="EB279" s="298"/>
      <c r="EC279" s="298"/>
      <c r="ED279" s="298"/>
      <c r="EE279" s="298"/>
      <c r="EF279" s="298"/>
      <c r="EG279" s="298"/>
    </row>
    <row r="280" spans="7:137" ht="11.75" customHeight="1" x14ac:dyDescent="0.15">
      <c r="AW280" s="298"/>
      <c r="AX280" s="298"/>
      <c r="AY280" s="298"/>
      <c r="AZ280" s="298"/>
      <c r="BA280" s="298"/>
      <c r="BB280" s="298"/>
      <c r="BC280" s="298"/>
      <c r="BD280" s="298"/>
      <c r="BE280" s="298"/>
      <c r="BF280" s="298"/>
      <c r="BG280" s="298"/>
      <c r="BH280" s="298"/>
      <c r="BI280" s="298"/>
      <c r="BJ280" s="298"/>
      <c r="BK280" s="298"/>
      <c r="BL280" s="298"/>
      <c r="BM280" s="298"/>
      <c r="BN280" s="298"/>
      <c r="BO280" s="298"/>
      <c r="BP280" s="298"/>
      <c r="BQ280" s="298"/>
      <c r="BR280" s="298"/>
      <c r="BS280" s="298"/>
      <c r="BT280" s="298"/>
      <c r="BU280" s="298"/>
      <c r="BV280" s="298"/>
      <c r="BW280" s="298"/>
      <c r="BX280" s="299"/>
      <c r="BY280" s="299"/>
      <c r="BZ280" s="299"/>
      <c r="CA280" s="299"/>
      <c r="CB280" s="299"/>
      <c r="CC280" s="299"/>
      <c r="CD280" s="299"/>
      <c r="CE280" s="299"/>
      <c r="CF280" s="299"/>
      <c r="CG280" s="299"/>
      <c r="CH280" s="299"/>
      <c r="CI280" s="299"/>
      <c r="CJ280" s="299"/>
      <c r="CK280" s="299"/>
      <c r="CL280" s="299"/>
      <c r="CM280" s="299"/>
      <c r="CN280" s="299"/>
      <c r="CO280" s="299"/>
      <c r="CP280" s="299"/>
      <c r="CQ280" s="299"/>
      <c r="CR280" s="299"/>
      <c r="CS280" s="299"/>
      <c r="CT280" s="299"/>
      <c r="CU280" s="299"/>
      <c r="CV280" s="299"/>
      <c r="CW280" s="299"/>
      <c r="CX280" s="299"/>
      <c r="CY280" s="299"/>
      <c r="CZ280" s="299"/>
      <c r="DA280" s="299"/>
      <c r="DB280" s="299"/>
      <c r="DC280" s="299"/>
      <c r="DD280" s="299"/>
      <c r="DE280" s="299"/>
      <c r="DF280" s="299"/>
      <c r="DG280" s="299"/>
      <c r="DH280" s="299"/>
      <c r="DI280" s="299"/>
      <c r="DJ280" s="299"/>
      <c r="DK280" s="299"/>
      <c r="DL280" s="299"/>
      <c r="DM280" s="299"/>
      <c r="DN280" s="299"/>
      <c r="DO280" s="299"/>
      <c r="DP280" s="299"/>
      <c r="DQ280" s="299"/>
      <c r="DR280" s="299"/>
      <c r="DS280" s="298"/>
      <c r="DT280" s="298"/>
      <c r="DU280" s="298"/>
      <c r="DV280" s="298"/>
      <c r="DW280" s="298"/>
      <c r="DX280" s="298"/>
      <c r="DY280" s="298"/>
      <c r="DZ280" s="298"/>
      <c r="EA280" s="298"/>
      <c r="EB280" s="298"/>
      <c r="EC280" s="298"/>
      <c r="ED280" s="298"/>
      <c r="EE280" s="298"/>
      <c r="EF280" s="298"/>
      <c r="EG280" s="298"/>
    </row>
    <row r="281" spans="7:137" ht="11.75" customHeight="1" x14ac:dyDescent="0.15">
      <c r="AW281" s="298"/>
      <c r="AX281" s="298"/>
      <c r="AY281" s="298"/>
      <c r="AZ281" s="298"/>
      <c r="BA281" s="298"/>
      <c r="BB281" s="298"/>
      <c r="BC281" s="298"/>
      <c r="BD281" s="298"/>
      <c r="BE281" s="298"/>
      <c r="BF281" s="298"/>
      <c r="BG281" s="298"/>
      <c r="BH281" s="298"/>
      <c r="BI281" s="298"/>
      <c r="BJ281" s="298"/>
      <c r="BK281" s="298"/>
      <c r="BL281" s="298"/>
      <c r="BM281" s="298"/>
      <c r="BN281" s="298"/>
      <c r="BO281" s="298"/>
      <c r="BP281" s="298"/>
      <c r="BQ281" s="298"/>
      <c r="BR281" s="298"/>
      <c r="BS281" s="298"/>
      <c r="BT281" s="298"/>
      <c r="BU281" s="298"/>
      <c r="BV281" s="298"/>
      <c r="BW281" s="298"/>
      <c r="BX281" s="299"/>
      <c r="BY281" s="299"/>
      <c r="BZ281" s="299"/>
      <c r="CA281" s="299"/>
      <c r="CB281" s="299"/>
      <c r="CC281" s="299"/>
      <c r="CD281" s="299"/>
      <c r="CE281" s="299"/>
      <c r="CF281" s="299"/>
      <c r="CG281" s="299"/>
      <c r="CH281" s="299"/>
      <c r="CI281" s="299"/>
      <c r="CJ281" s="299"/>
      <c r="CK281" s="299"/>
      <c r="CL281" s="299"/>
      <c r="CM281" s="299"/>
      <c r="CN281" s="299"/>
      <c r="CO281" s="299"/>
      <c r="CP281" s="299"/>
      <c r="CQ281" s="299"/>
      <c r="CR281" s="299"/>
      <c r="CS281" s="299"/>
      <c r="CT281" s="299"/>
      <c r="CU281" s="299"/>
      <c r="CV281" s="299"/>
      <c r="CW281" s="299"/>
      <c r="CX281" s="299"/>
      <c r="CY281" s="299"/>
      <c r="CZ281" s="299"/>
      <c r="DA281" s="299"/>
      <c r="DB281" s="299"/>
      <c r="DC281" s="299"/>
      <c r="DD281" s="299"/>
      <c r="DE281" s="299"/>
      <c r="DF281" s="299"/>
      <c r="DG281" s="299"/>
      <c r="DH281" s="299"/>
      <c r="DI281" s="299"/>
      <c r="DJ281" s="299"/>
      <c r="DK281" s="299"/>
      <c r="DL281" s="299"/>
      <c r="DM281" s="299"/>
      <c r="DN281" s="299"/>
      <c r="DO281" s="299"/>
      <c r="DP281" s="299"/>
      <c r="DQ281" s="299"/>
      <c r="DR281" s="299"/>
      <c r="DS281" s="298"/>
      <c r="DT281" s="298"/>
      <c r="DU281" s="298"/>
      <c r="DV281" s="298"/>
      <c r="DW281" s="298"/>
      <c r="DX281" s="298"/>
      <c r="DY281" s="298"/>
      <c r="DZ281" s="298"/>
      <c r="EA281" s="298"/>
      <c r="EB281" s="298"/>
      <c r="EC281" s="298"/>
      <c r="ED281" s="298"/>
      <c r="EE281" s="298"/>
      <c r="EF281" s="298"/>
      <c r="EG281" s="298"/>
    </row>
    <row r="282" spans="7:137" ht="11.75" customHeight="1" x14ac:dyDescent="0.15">
      <c r="AW282" s="298"/>
      <c r="AX282" s="298"/>
      <c r="AY282" s="298"/>
      <c r="AZ282" s="298"/>
      <c r="BA282" s="298"/>
      <c r="BB282" s="298"/>
      <c r="BC282" s="298"/>
      <c r="BD282" s="298"/>
      <c r="BE282" s="298"/>
      <c r="BF282" s="298"/>
      <c r="BG282" s="298"/>
      <c r="BH282" s="298"/>
      <c r="BI282" s="298"/>
      <c r="BJ282" s="298"/>
      <c r="BK282" s="298"/>
      <c r="BL282" s="298"/>
      <c r="BM282" s="298"/>
      <c r="BN282" s="298"/>
      <c r="BO282" s="298"/>
      <c r="BP282" s="298"/>
      <c r="BQ282" s="298"/>
      <c r="BR282" s="298"/>
      <c r="BS282" s="298"/>
      <c r="BT282" s="298"/>
      <c r="BU282" s="298"/>
      <c r="BV282" s="298"/>
      <c r="BW282" s="298"/>
      <c r="BX282" s="299"/>
      <c r="BY282" s="299"/>
      <c r="BZ282" s="299"/>
      <c r="CA282" s="299"/>
      <c r="CB282" s="299"/>
      <c r="CC282" s="299"/>
      <c r="CD282" s="299"/>
      <c r="CE282" s="299"/>
      <c r="CF282" s="299"/>
      <c r="CG282" s="299"/>
      <c r="CH282" s="299"/>
      <c r="CI282" s="299"/>
      <c r="CJ282" s="299"/>
      <c r="CK282" s="299"/>
      <c r="CL282" s="299"/>
      <c r="CM282" s="299"/>
      <c r="CN282" s="299"/>
      <c r="CO282" s="299"/>
      <c r="CP282" s="299"/>
      <c r="CQ282" s="299"/>
      <c r="CR282" s="299"/>
      <c r="CS282" s="299"/>
      <c r="CT282" s="299"/>
      <c r="CU282" s="299"/>
      <c r="CV282" s="299"/>
      <c r="CW282" s="299"/>
      <c r="CX282" s="299"/>
      <c r="CY282" s="299"/>
      <c r="CZ282" s="299"/>
      <c r="DA282" s="299"/>
      <c r="DB282" s="299"/>
      <c r="DC282" s="299"/>
      <c r="DD282" s="299"/>
      <c r="DE282" s="299"/>
      <c r="DF282" s="299"/>
      <c r="DG282" s="299"/>
      <c r="DH282" s="299"/>
      <c r="DI282" s="299"/>
      <c r="DJ282" s="299"/>
      <c r="DK282" s="299"/>
      <c r="DL282" s="299"/>
      <c r="DM282" s="299"/>
      <c r="DN282" s="299"/>
      <c r="DO282" s="299"/>
      <c r="DP282" s="299"/>
      <c r="DQ282" s="299"/>
      <c r="DR282" s="299"/>
      <c r="DS282" s="298"/>
      <c r="DT282" s="298"/>
      <c r="DU282" s="298"/>
      <c r="DV282" s="298"/>
      <c r="DW282" s="298"/>
      <c r="DX282" s="298"/>
      <c r="DY282" s="298"/>
      <c r="DZ282" s="298"/>
      <c r="EA282" s="298"/>
      <c r="EB282" s="298"/>
      <c r="EC282" s="298"/>
      <c r="ED282" s="298"/>
      <c r="EE282" s="298"/>
      <c r="EF282" s="298"/>
      <c r="EG282" s="298"/>
    </row>
    <row r="283" spans="7:137" ht="11.75" customHeight="1" x14ac:dyDescent="0.15">
      <c r="AW283" s="298"/>
      <c r="AX283" s="298"/>
      <c r="AY283" s="298"/>
      <c r="AZ283" s="298"/>
      <c r="BA283" s="298"/>
      <c r="BB283" s="298"/>
      <c r="BC283" s="298"/>
      <c r="BD283" s="298"/>
      <c r="BE283" s="298"/>
      <c r="BF283" s="298"/>
      <c r="BG283" s="298"/>
      <c r="BH283" s="298"/>
      <c r="BI283" s="298"/>
      <c r="BJ283" s="298"/>
      <c r="BK283" s="298"/>
      <c r="BL283" s="298"/>
      <c r="BM283" s="298"/>
      <c r="BN283" s="298"/>
      <c r="BO283" s="298"/>
      <c r="BP283" s="298"/>
      <c r="BQ283" s="298"/>
      <c r="BR283" s="298"/>
      <c r="BS283" s="298"/>
      <c r="BT283" s="298"/>
      <c r="BU283" s="298"/>
      <c r="BV283" s="298"/>
      <c r="BW283" s="298"/>
      <c r="BX283" s="299"/>
      <c r="BY283" s="299"/>
      <c r="BZ283" s="299"/>
      <c r="CA283" s="299"/>
      <c r="CB283" s="299"/>
      <c r="CC283" s="299"/>
      <c r="CD283" s="299"/>
      <c r="CE283" s="299"/>
      <c r="CF283" s="299"/>
      <c r="CG283" s="299"/>
      <c r="CH283" s="299"/>
      <c r="CI283" s="299"/>
      <c r="CJ283" s="299"/>
      <c r="CK283" s="299"/>
      <c r="CL283" s="299"/>
      <c r="CM283" s="299"/>
      <c r="CN283" s="299"/>
      <c r="CO283" s="299"/>
      <c r="CP283" s="299"/>
      <c r="CQ283" s="299"/>
      <c r="CR283" s="299"/>
      <c r="CS283" s="299"/>
      <c r="CT283" s="299"/>
      <c r="CU283" s="299"/>
      <c r="CV283" s="299"/>
      <c r="CW283" s="299"/>
      <c r="CX283" s="299"/>
      <c r="CY283" s="299"/>
      <c r="CZ283" s="299"/>
      <c r="DA283" s="299"/>
      <c r="DB283" s="299"/>
      <c r="DC283" s="299"/>
      <c r="DD283" s="299"/>
      <c r="DE283" s="299"/>
      <c r="DF283" s="299"/>
      <c r="DG283" s="299"/>
      <c r="DH283" s="299"/>
      <c r="DI283" s="299"/>
      <c r="DJ283" s="299"/>
      <c r="DK283" s="299"/>
      <c r="DL283" s="299"/>
      <c r="DM283" s="299"/>
      <c r="DN283" s="299"/>
      <c r="DO283" s="299"/>
      <c r="DP283" s="299"/>
      <c r="DQ283" s="299"/>
      <c r="DR283" s="299"/>
      <c r="DS283" s="298"/>
      <c r="DT283" s="298"/>
      <c r="DU283" s="298"/>
      <c r="DV283" s="298"/>
      <c r="DW283" s="298"/>
      <c r="DX283" s="298"/>
      <c r="DY283" s="298"/>
      <c r="DZ283" s="298"/>
      <c r="EA283" s="298"/>
      <c r="EB283" s="298"/>
      <c r="EC283" s="298"/>
      <c r="ED283" s="298"/>
      <c r="EE283" s="298"/>
      <c r="EF283" s="298"/>
      <c r="EG283" s="298"/>
    </row>
    <row r="284" spans="7:137" ht="11.75" customHeight="1" x14ac:dyDescent="0.15">
      <c r="AW284" s="298"/>
      <c r="AX284" s="298"/>
      <c r="AY284" s="298"/>
      <c r="AZ284" s="298"/>
      <c r="BA284" s="298"/>
      <c r="BB284" s="298"/>
      <c r="BC284" s="298"/>
      <c r="BD284" s="298"/>
      <c r="BE284" s="298"/>
      <c r="BF284" s="298"/>
      <c r="BG284" s="298"/>
      <c r="BH284" s="298"/>
      <c r="BI284" s="298"/>
      <c r="BJ284" s="298"/>
      <c r="BK284" s="298"/>
      <c r="BL284" s="298"/>
      <c r="BM284" s="298"/>
      <c r="BN284" s="298"/>
      <c r="BO284" s="298"/>
      <c r="BP284" s="298"/>
      <c r="BQ284" s="298"/>
      <c r="BR284" s="298"/>
      <c r="BS284" s="298"/>
      <c r="BT284" s="298"/>
      <c r="BU284" s="298"/>
      <c r="BV284" s="298"/>
      <c r="BW284" s="298"/>
      <c r="BX284" s="299"/>
      <c r="BY284" s="299"/>
      <c r="BZ284" s="299"/>
      <c r="CA284" s="299"/>
      <c r="CB284" s="299"/>
      <c r="CC284" s="299"/>
      <c r="CD284" s="299"/>
      <c r="CE284" s="299"/>
      <c r="CF284" s="299"/>
      <c r="CG284" s="299"/>
      <c r="CH284" s="299"/>
      <c r="CI284" s="299"/>
      <c r="CJ284" s="299"/>
      <c r="CK284" s="299"/>
      <c r="CL284" s="299"/>
      <c r="CM284" s="299"/>
      <c r="CN284" s="299"/>
      <c r="CO284" s="299"/>
      <c r="CP284" s="299"/>
      <c r="CQ284" s="299"/>
      <c r="CR284" s="299"/>
      <c r="CS284" s="299"/>
      <c r="CT284" s="299"/>
      <c r="CU284" s="299"/>
      <c r="CV284" s="299"/>
      <c r="CW284" s="299"/>
      <c r="CX284" s="299"/>
      <c r="CY284" s="299"/>
      <c r="CZ284" s="299"/>
      <c r="DA284" s="299"/>
      <c r="DB284" s="299"/>
      <c r="DC284" s="299"/>
      <c r="DD284" s="299"/>
      <c r="DE284" s="299"/>
      <c r="DF284" s="299"/>
      <c r="DG284" s="299"/>
      <c r="DH284" s="299"/>
      <c r="DI284" s="299"/>
      <c r="DJ284" s="299"/>
      <c r="DK284" s="299"/>
      <c r="DL284" s="299"/>
      <c r="DM284" s="299"/>
      <c r="DN284" s="299"/>
      <c r="DO284" s="299"/>
      <c r="DP284" s="299"/>
      <c r="DQ284" s="299"/>
      <c r="DR284" s="299"/>
      <c r="DS284" s="298"/>
      <c r="DT284" s="298"/>
      <c r="DU284" s="298"/>
      <c r="DV284" s="298"/>
      <c r="DW284" s="298"/>
      <c r="DX284" s="298"/>
      <c r="DY284" s="298"/>
      <c r="DZ284" s="298"/>
      <c r="EA284" s="298"/>
      <c r="EB284" s="298"/>
      <c r="EC284" s="298"/>
      <c r="ED284" s="298"/>
      <c r="EE284" s="298"/>
      <c r="EF284" s="298"/>
      <c r="EG284" s="298"/>
    </row>
    <row r="285" spans="7:137" s="302" customFormat="1" ht="11.75" customHeight="1" x14ac:dyDescent="0.15">
      <c r="G285" s="300"/>
      <c r="H285" s="301"/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  <c r="Y285" s="301"/>
      <c r="Z285" s="301"/>
      <c r="AA285" s="301"/>
      <c r="AB285" s="301"/>
      <c r="AC285" s="301"/>
      <c r="AD285" s="301"/>
      <c r="AE285" s="301"/>
      <c r="AH285" s="303"/>
      <c r="AI285" s="303"/>
      <c r="AJ285" s="303"/>
      <c r="AK285" s="303"/>
      <c r="AL285" s="303"/>
      <c r="AM285" s="303"/>
      <c r="AN285" s="303"/>
      <c r="AW285" s="304"/>
      <c r="AX285" s="304"/>
      <c r="AY285" s="304"/>
      <c r="AZ285" s="304"/>
      <c r="BA285" s="304"/>
      <c r="BB285" s="304"/>
      <c r="BC285" s="304"/>
      <c r="BD285" s="304"/>
      <c r="BE285" s="304"/>
      <c r="BF285" s="304"/>
      <c r="BG285" s="304"/>
      <c r="BH285" s="304"/>
      <c r="BI285" s="304"/>
      <c r="BJ285" s="304"/>
      <c r="BK285" s="304"/>
      <c r="BL285" s="304"/>
      <c r="BM285" s="304"/>
      <c r="BN285" s="304"/>
      <c r="BO285" s="304"/>
      <c r="BP285" s="304"/>
      <c r="BQ285" s="304"/>
      <c r="BR285" s="304"/>
      <c r="BS285" s="304"/>
      <c r="BT285" s="304"/>
      <c r="BU285" s="304"/>
      <c r="BV285" s="304"/>
      <c r="BW285" s="304"/>
      <c r="BX285" s="305"/>
      <c r="BY285" s="305"/>
      <c r="BZ285" s="305"/>
      <c r="CA285" s="305"/>
      <c r="CB285" s="305"/>
      <c r="CC285" s="305"/>
      <c r="CD285" s="305"/>
      <c r="CE285" s="305"/>
      <c r="CF285" s="305"/>
      <c r="CG285" s="305"/>
      <c r="CH285" s="305"/>
      <c r="CI285" s="305"/>
      <c r="CJ285" s="305"/>
      <c r="CK285" s="305"/>
      <c r="CL285" s="305"/>
      <c r="CM285" s="305"/>
      <c r="CN285" s="305"/>
      <c r="CO285" s="305"/>
      <c r="CP285" s="305"/>
      <c r="CQ285" s="305"/>
      <c r="CR285" s="305"/>
      <c r="CS285" s="305"/>
      <c r="CT285" s="305"/>
      <c r="CU285" s="305"/>
      <c r="CV285" s="305"/>
      <c r="CW285" s="305"/>
      <c r="CX285" s="305"/>
      <c r="CY285" s="305"/>
      <c r="CZ285" s="305"/>
      <c r="DA285" s="305"/>
      <c r="DB285" s="305"/>
      <c r="DC285" s="305"/>
      <c r="DD285" s="305"/>
      <c r="DE285" s="305"/>
      <c r="DF285" s="305"/>
      <c r="DG285" s="305"/>
      <c r="DH285" s="305"/>
      <c r="DI285" s="305"/>
      <c r="DJ285" s="305"/>
      <c r="DK285" s="305"/>
      <c r="DL285" s="305"/>
      <c r="DM285" s="305"/>
      <c r="DN285" s="305"/>
      <c r="DO285" s="305"/>
      <c r="DP285" s="305"/>
      <c r="DQ285" s="305"/>
      <c r="DR285" s="305"/>
      <c r="DS285" s="304"/>
      <c r="DT285" s="304"/>
      <c r="DU285" s="304"/>
      <c r="DV285" s="304"/>
      <c r="DW285" s="304"/>
      <c r="DX285" s="304"/>
      <c r="DY285" s="304"/>
      <c r="DZ285" s="304"/>
      <c r="EA285" s="304"/>
      <c r="EB285" s="304"/>
      <c r="EC285" s="304"/>
      <c r="ED285" s="304"/>
      <c r="EE285" s="304"/>
      <c r="EF285" s="304"/>
      <c r="EG285" s="304"/>
    </row>
    <row r="286" spans="7:137" s="302" customFormat="1" ht="11.75" customHeight="1" x14ac:dyDescent="0.15">
      <c r="G286" s="300"/>
      <c r="H286" s="301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  <c r="Y286" s="301"/>
      <c r="Z286" s="301"/>
      <c r="AA286" s="301"/>
      <c r="AB286" s="301"/>
      <c r="AC286" s="301"/>
      <c r="AD286" s="301"/>
      <c r="AE286" s="301"/>
      <c r="AH286" s="303"/>
      <c r="AI286" s="303"/>
      <c r="AJ286" s="303"/>
      <c r="AK286" s="303"/>
      <c r="AL286" s="303"/>
      <c r="AM286" s="303"/>
      <c r="AN286" s="303"/>
      <c r="AW286" s="304"/>
      <c r="AX286" s="304"/>
      <c r="AY286" s="304"/>
      <c r="AZ286" s="304"/>
      <c r="BA286" s="304"/>
      <c r="BB286" s="304"/>
      <c r="BC286" s="304"/>
      <c r="BD286" s="304"/>
      <c r="BE286" s="304"/>
      <c r="BF286" s="304"/>
      <c r="BG286" s="304"/>
      <c r="BH286" s="304"/>
      <c r="BI286" s="304"/>
      <c r="BJ286" s="304"/>
      <c r="BK286" s="304"/>
      <c r="BL286" s="304"/>
      <c r="BM286" s="304"/>
      <c r="BN286" s="304"/>
      <c r="BO286" s="304"/>
      <c r="BP286" s="304"/>
      <c r="BQ286" s="304"/>
      <c r="BR286" s="304"/>
      <c r="BS286" s="304"/>
      <c r="BT286" s="304"/>
      <c r="BU286" s="304"/>
      <c r="BV286" s="304"/>
      <c r="BW286" s="304"/>
      <c r="BX286" s="305"/>
      <c r="BY286" s="305"/>
      <c r="BZ286" s="305"/>
      <c r="CA286" s="305"/>
      <c r="CB286" s="305"/>
      <c r="CC286" s="305"/>
      <c r="CD286" s="305"/>
      <c r="CE286" s="305"/>
      <c r="CF286" s="305"/>
      <c r="CG286" s="305"/>
      <c r="CH286" s="305"/>
      <c r="CI286" s="305"/>
      <c r="CJ286" s="305"/>
      <c r="CK286" s="305"/>
      <c r="CL286" s="305"/>
      <c r="CM286" s="305"/>
      <c r="CN286" s="305"/>
      <c r="CO286" s="305"/>
      <c r="CP286" s="305"/>
      <c r="CQ286" s="305"/>
      <c r="CR286" s="305"/>
      <c r="CS286" s="305"/>
      <c r="CT286" s="305"/>
      <c r="CU286" s="305"/>
      <c r="CV286" s="305"/>
      <c r="CW286" s="305"/>
      <c r="CX286" s="305"/>
      <c r="CY286" s="305"/>
      <c r="CZ286" s="305"/>
      <c r="DA286" s="305"/>
      <c r="DB286" s="305"/>
      <c r="DC286" s="305"/>
      <c r="DD286" s="305"/>
      <c r="DE286" s="305"/>
      <c r="DF286" s="305"/>
      <c r="DG286" s="305"/>
      <c r="DH286" s="305"/>
      <c r="DI286" s="305"/>
      <c r="DJ286" s="305"/>
      <c r="DK286" s="305"/>
      <c r="DL286" s="305"/>
      <c r="DM286" s="305"/>
      <c r="DN286" s="305"/>
      <c r="DO286" s="305"/>
      <c r="DP286" s="305"/>
      <c r="DQ286" s="305"/>
      <c r="DR286" s="305"/>
      <c r="DS286" s="304"/>
      <c r="DT286" s="304"/>
      <c r="DU286" s="304"/>
      <c r="DV286" s="304"/>
      <c r="DW286" s="304"/>
      <c r="DX286" s="304"/>
      <c r="DY286" s="304"/>
      <c r="DZ286" s="304"/>
      <c r="EA286" s="304"/>
      <c r="EB286" s="304"/>
      <c r="EC286" s="304"/>
      <c r="ED286" s="304"/>
      <c r="EE286" s="304"/>
      <c r="EF286" s="304"/>
      <c r="EG286" s="304"/>
    </row>
    <row r="287" spans="7:137" s="302" customFormat="1" ht="11.75" customHeight="1" x14ac:dyDescent="0.15">
      <c r="G287" s="300"/>
      <c r="H287" s="301"/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  <c r="Y287" s="301"/>
      <c r="Z287" s="301"/>
      <c r="AA287" s="301"/>
      <c r="AB287" s="301"/>
      <c r="AC287" s="301"/>
      <c r="AD287" s="301"/>
      <c r="AE287" s="301"/>
      <c r="AH287" s="303"/>
      <c r="AI287" s="303"/>
      <c r="AJ287" s="303"/>
      <c r="AK287" s="303"/>
      <c r="AL287" s="303"/>
      <c r="AM287" s="303"/>
      <c r="AN287" s="303"/>
      <c r="AW287" s="304"/>
      <c r="AX287" s="304"/>
      <c r="AY287" s="304"/>
      <c r="AZ287" s="304"/>
      <c r="BA287" s="304"/>
      <c r="BB287" s="304"/>
      <c r="BC287" s="304"/>
      <c r="BD287" s="304"/>
      <c r="BE287" s="304"/>
      <c r="BF287" s="304"/>
      <c r="BG287" s="304"/>
      <c r="BH287" s="304"/>
      <c r="BI287" s="304"/>
      <c r="BJ287" s="304"/>
      <c r="BK287" s="304"/>
      <c r="BL287" s="304"/>
      <c r="BM287" s="304"/>
      <c r="BN287" s="304"/>
      <c r="BO287" s="304"/>
      <c r="BP287" s="304"/>
      <c r="BQ287" s="304"/>
      <c r="BR287" s="304"/>
      <c r="BS287" s="304"/>
      <c r="BT287" s="304"/>
      <c r="BU287" s="304"/>
      <c r="BV287" s="304"/>
      <c r="BW287" s="304"/>
      <c r="BX287" s="305"/>
      <c r="BY287" s="305"/>
      <c r="BZ287" s="305"/>
      <c r="CA287" s="305"/>
      <c r="CB287" s="305"/>
      <c r="CC287" s="305"/>
      <c r="CD287" s="305"/>
      <c r="CE287" s="305"/>
      <c r="CF287" s="305"/>
      <c r="CG287" s="305"/>
      <c r="CH287" s="305"/>
      <c r="CI287" s="305"/>
      <c r="CJ287" s="305"/>
      <c r="CK287" s="305"/>
      <c r="CL287" s="305"/>
      <c r="CM287" s="305"/>
      <c r="CN287" s="305"/>
      <c r="CO287" s="305"/>
      <c r="CP287" s="305"/>
      <c r="CQ287" s="305"/>
      <c r="CR287" s="305"/>
      <c r="CS287" s="305"/>
      <c r="CT287" s="305"/>
      <c r="CU287" s="305"/>
      <c r="CV287" s="305"/>
      <c r="CW287" s="305"/>
      <c r="CX287" s="305"/>
      <c r="CY287" s="305"/>
      <c r="CZ287" s="305"/>
      <c r="DA287" s="305"/>
      <c r="DB287" s="305"/>
      <c r="DC287" s="305"/>
      <c r="DD287" s="305"/>
      <c r="DE287" s="305"/>
      <c r="DF287" s="305"/>
      <c r="DG287" s="305"/>
      <c r="DH287" s="305"/>
      <c r="DI287" s="305"/>
      <c r="DJ287" s="305"/>
      <c r="DK287" s="305"/>
      <c r="DL287" s="305"/>
      <c r="DM287" s="305"/>
      <c r="DN287" s="305"/>
      <c r="DO287" s="305"/>
      <c r="DP287" s="305"/>
      <c r="DQ287" s="305"/>
      <c r="DR287" s="305"/>
      <c r="DS287" s="304"/>
      <c r="DT287" s="304"/>
      <c r="DU287" s="304"/>
      <c r="DV287" s="304"/>
      <c r="DW287" s="304"/>
      <c r="DX287" s="304"/>
      <c r="DY287" s="304"/>
      <c r="DZ287" s="304"/>
      <c r="EA287" s="304"/>
      <c r="EB287" s="304"/>
      <c r="EC287" s="304"/>
      <c r="ED287" s="304"/>
      <c r="EE287" s="304"/>
      <c r="EF287" s="304"/>
      <c r="EG287" s="304"/>
    </row>
    <row r="288" spans="7:137" s="302" customFormat="1" ht="11.75" customHeight="1" x14ac:dyDescent="0.15">
      <c r="G288" s="300"/>
      <c r="H288" s="301"/>
      <c r="I288" s="301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  <c r="Z288" s="301"/>
      <c r="AA288" s="301"/>
      <c r="AB288" s="301"/>
      <c r="AC288" s="301"/>
      <c r="AD288" s="301"/>
      <c r="AE288" s="301"/>
      <c r="AH288" s="303"/>
      <c r="AI288" s="303"/>
      <c r="AJ288" s="303"/>
      <c r="AK288" s="303"/>
      <c r="AL288" s="303"/>
      <c r="AM288" s="303"/>
      <c r="AN288" s="303"/>
      <c r="AW288" s="304"/>
      <c r="AX288" s="304"/>
      <c r="AY288" s="304"/>
      <c r="AZ288" s="304"/>
      <c r="BA288" s="304"/>
      <c r="BB288" s="304"/>
      <c r="BC288" s="304"/>
      <c r="BD288" s="304"/>
      <c r="BE288" s="304"/>
      <c r="BF288" s="304"/>
      <c r="BG288" s="304"/>
      <c r="BH288" s="304"/>
      <c r="BI288" s="304"/>
      <c r="BJ288" s="304"/>
      <c r="BK288" s="304"/>
      <c r="BL288" s="304"/>
      <c r="BM288" s="304"/>
      <c r="BN288" s="304"/>
      <c r="BO288" s="304"/>
      <c r="BP288" s="304"/>
      <c r="BQ288" s="304"/>
      <c r="BR288" s="304"/>
      <c r="BS288" s="304"/>
      <c r="BT288" s="304"/>
      <c r="BU288" s="304"/>
      <c r="BV288" s="304"/>
      <c r="BW288" s="304"/>
      <c r="BX288" s="305"/>
      <c r="BY288" s="305"/>
      <c r="BZ288" s="305"/>
      <c r="CA288" s="305"/>
      <c r="CB288" s="305"/>
      <c r="CC288" s="305"/>
      <c r="CD288" s="305"/>
      <c r="CE288" s="305"/>
      <c r="CF288" s="305"/>
      <c r="CG288" s="305"/>
      <c r="CH288" s="305"/>
      <c r="CI288" s="305"/>
      <c r="CJ288" s="305"/>
      <c r="CK288" s="305"/>
      <c r="CL288" s="305"/>
      <c r="CM288" s="305"/>
      <c r="CN288" s="305"/>
      <c r="CO288" s="305"/>
      <c r="CP288" s="305"/>
      <c r="CQ288" s="305"/>
      <c r="CR288" s="305"/>
      <c r="CS288" s="305"/>
      <c r="CT288" s="305"/>
      <c r="CU288" s="305"/>
      <c r="CV288" s="305"/>
      <c r="CW288" s="305"/>
      <c r="CX288" s="305"/>
      <c r="CY288" s="305"/>
      <c r="CZ288" s="305"/>
      <c r="DA288" s="305"/>
      <c r="DB288" s="305"/>
      <c r="DC288" s="305"/>
      <c r="DD288" s="305"/>
      <c r="DE288" s="305"/>
      <c r="DF288" s="305"/>
      <c r="DG288" s="305"/>
      <c r="DH288" s="305"/>
      <c r="DI288" s="305"/>
      <c r="DJ288" s="305"/>
      <c r="DK288" s="305"/>
      <c r="DL288" s="305"/>
      <c r="DM288" s="305"/>
      <c r="DN288" s="305"/>
      <c r="DO288" s="305"/>
      <c r="DP288" s="305"/>
      <c r="DQ288" s="305"/>
      <c r="DR288" s="305"/>
      <c r="DS288" s="304"/>
      <c r="DT288" s="304"/>
      <c r="DU288" s="304"/>
      <c r="DV288" s="304"/>
      <c r="DW288" s="304"/>
      <c r="DX288" s="304"/>
      <c r="DY288" s="304"/>
      <c r="DZ288" s="304"/>
      <c r="EA288" s="304"/>
      <c r="EB288" s="304"/>
      <c r="EC288" s="304"/>
      <c r="ED288" s="304"/>
      <c r="EE288" s="304"/>
      <c r="EF288" s="304"/>
      <c r="EG288" s="304"/>
    </row>
    <row r="289" spans="2:137" s="302" customFormat="1" ht="11.75" customHeight="1" x14ac:dyDescent="0.15">
      <c r="G289" s="300"/>
      <c r="H289" s="301"/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  <c r="AA289" s="301"/>
      <c r="AB289" s="301"/>
      <c r="AC289" s="301"/>
      <c r="AD289" s="301"/>
      <c r="AE289" s="301"/>
      <c r="AH289" s="303"/>
      <c r="AI289" s="303"/>
      <c r="AJ289" s="303"/>
      <c r="AK289" s="303"/>
      <c r="AL289" s="303"/>
      <c r="AM289" s="303"/>
      <c r="AN289" s="303"/>
      <c r="AW289" s="304"/>
      <c r="AX289" s="304"/>
      <c r="AY289" s="304"/>
      <c r="AZ289" s="304"/>
      <c r="BA289" s="304"/>
      <c r="BB289" s="304"/>
      <c r="BC289" s="304"/>
      <c r="BD289" s="304"/>
      <c r="BE289" s="304"/>
      <c r="BF289" s="304"/>
      <c r="BG289" s="304"/>
      <c r="BH289" s="304"/>
      <c r="BI289" s="304"/>
      <c r="BJ289" s="304"/>
      <c r="BK289" s="304"/>
      <c r="BL289" s="304"/>
      <c r="BM289" s="304"/>
      <c r="BN289" s="304"/>
      <c r="BO289" s="304"/>
      <c r="BP289" s="304"/>
      <c r="BQ289" s="304"/>
      <c r="BR289" s="304"/>
      <c r="BS289" s="304"/>
      <c r="BT289" s="304"/>
      <c r="BU289" s="304"/>
      <c r="BV289" s="304"/>
      <c r="BW289" s="304"/>
      <c r="BX289" s="305"/>
      <c r="BY289" s="305"/>
      <c r="BZ289" s="305"/>
      <c r="CA289" s="305"/>
      <c r="CB289" s="305"/>
      <c r="CC289" s="305"/>
      <c r="CD289" s="305"/>
      <c r="CE289" s="305"/>
      <c r="CF289" s="305"/>
      <c r="CG289" s="305"/>
      <c r="CH289" s="305"/>
      <c r="CI289" s="305"/>
      <c r="CJ289" s="305"/>
      <c r="CK289" s="305"/>
      <c r="CL289" s="305"/>
      <c r="CM289" s="305"/>
      <c r="CN289" s="305"/>
      <c r="CO289" s="305"/>
      <c r="CP289" s="305"/>
      <c r="CQ289" s="305"/>
      <c r="CR289" s="305"/>
      <c r="CS289" s="305"/>
      <c r="CT289" s="305"/>
      <c r="CU289" s="305"/>
      <c r="CV289" s="305"/>
      <c r="CW289" s="305"/>
      <c r="CX289" s="305"/>
      <c r="CY289" s="305"/>
      <c r="CZ289" s="305"/>
      <c r="DA289" s="305"/>
      <c r="DB289" s="305"/>
      <c r="DC289" s="305"/>
      <c r="DD289" s="305"/>
      <c r="DE289" s="305"/>
      <c r="DF289" s="305"/>
      <c r="DG289" s="305"/>
      <c r="DH289" s="305"/>
      <c r="DI289" s="305"/>
      <c r="DJ289" s="305"/>
      <c r="DK289" s="305"/>
      <c r="DL289" s="305"/>
      <c r="DM289" s="305"/>
      <c r="DN289" s="305"/>
      <c r="DO289" s="305"/>
      <c r="DP289" s="305"/>
      <c r="DQ289" s="305"/>
      <c r="DR289" s="305"/>
      <c r="DS289" s="304"/>
      <c r="DT289" s="304"/>
      <c r="DU289" s="304"/>
      <c r="DV289" s="304"/>
      <c r="DW289" s="304"/>
      <c r="DX289" s="304"/>
      <c r="DY289" s="304"/>
      <c r="DZ289" s="304"/>
      <c r="EA289" s="304"/>
      <c r="EB289" s="304"/>
      <c r="EC289" s="304"/>
      <c r="ED289" s="304"/>
      <c r="EE289" s="304"/>
      <c r="EF289" s="304"/>
      <c r="EG289" s="304"/>
    </row>
    <row r="290" spans="2:137" s="302" customFormat="1" ht="11.75" customHeight="1" x14ac:dyDescent="0.15">
      <c r="G290" s="300"/>
      <c r="H290" s="301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  <c r="Z290" s="301"/>
      <c r="AA290" s="301"/>
      <c r="AB290" s="301"/>
      <c r="AC290" s="301"/>
      <c r="AD290" s="301"/>
      <c r="AE290" s="301"/>
      <c r="AH290" s="303"/>
      <c r="AI290" s="303"/>
      <c r="AJ290" s="303"/>
      <c r="AK290" s="303"/>
      <c r="AL290" s="303"/>
      <c r="AM290" s="303"/>
      <c r="AN290" s="303"/>
      <c r="AW290" s="304"/>
      <c r="AX290" s="304"/>
      <c r="AY290" s="304"/>
      <c r="AZ290" s="304"/>
      <c r="BA290" s="304"/>
      <c r="BB290" s="304"/>
      <c r="BC290" s="304"/>
      <c r="BD290" s="304"/>
      <c r="BE290" s="304"/>
      <c r="BF290" s="304"/>
      <c r="BG290" s="304"/>
      <c r="BH290" s="304"/>
      <c r="BI290" s="304"/>
      <c r="BJ290" s="304"/>
      <c r="BK290" s="304"/>
      <c r="BL290" s="304"/>
      <c r="BM290" s="304"/>
      <c r="BN290" s="304"/>
      <c r="BO290" s="304"/>
      <c r="BP290" s="304"/>
      <c r="BQ290" s="304"/>
      <c r="BR290" s="304"/>
      <c r="BS290" s="304"/>
      <c r="BT290" s="304"/>
      <c r="BU290" s="304"/>
      <c r="BV290" s="304"/>
      <c r="BW290" s="304"/>
      <c r="BX290" s="305"/>
      <c r="BY290" s="305"/>
      <c r="BZ290" s="305"/>
      <c r="CA290" s="305"/>
      <c r="CB290" s="305"/>
      <c r="CC290" s="305"/>
      <c r="CD290" s="305"/>
      <c r="CE290" s="305"/>
      <c r="CF290" s="305"/>
      <c r="CG290" s="305"/>
      <c r="CH290" s="305"/>
      <c r="CI290" s="305"/>
      <c r="CJ290" s="305"/>
      <c r="CK290" s="305"/>
      <c r="CL290" s="305"/>
      <c r="CM290" s="305"/>
      <c r="CN290" s="305"/>
      <c r="CO290" s="305"/>
      <c r="CP290" s="305"/>
      <c r="CQ290" s="305"/>
      <c r="CR290" s="305"/>
      <c r="CS290" s="305"/>
      <c r="CT290" s="305"/>
      <c r="CU290" s="305"/>
      <c r="CV290" s="305"/>
      <c r="CW290" s="305"/>
      <c r="CX290" s="305"/>
      <c r="CY290" s="305"/>
      <c r="CZ290" s="305"/>
      <c r="DA290" s="305"/>
      <c r="DB290" s="305"/>
      <c r="DC290" s="305"/>
      <c r="DD290" s="305"/>
      <c r="DE290" s="305"/>
      <c r="DF290" s="305"/>
      <c r="DG290" s="305"/>
      <c r="DH290" s="305"/>
      <c r="DI290" s="305"/>
      <c r="DJ290" s="305"/>
      <c r="DK290" s="305"/>
      <c r="DL290" s="305"/>
      <c r="DM290" s="305"/>
      <c r="DN290" s="305"/>
      <c r="DO290" s="305"/>
      <c r="DP290" s="305"/>
      <c r="DQ290" s="305"/>
      <c r="DR290" s="305"/>
      <c r="DS290" s="304"/>
      <c r="DT290" s="304"/>
      <c r="DU290" s="304"/>
      <c r="DV290" s="304"/>
      <c r="DW290" s="304"/>
      <c r="DX290" s="304"/>
      <c r="DY290" s="304"/>
      <c r="DZ290" s="304"/>
      <c r="EA290" s="304"/>
      <c r="EB290" s="304"/>
      <c r="EC290" s="304"/>
      <c r="ED290" s="304"/>
      <c r="EE290" s="304"/>
      <c r="EF290" s="304"/>
      <c r="EG290" s="304"/>
    </row>
    <row r="291" spans="2:137" s="302" customFormat="1" ht="11.75" customHeight="1" x14ac:dyDescent="0.15">
      <c r="G291" s="300"/>
      <c r="H291" s="301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  <c r="Z291" s="301"/>
      <c r="AA291" s="301"/>
      <c r="AB291" s="301"/>
      <c r="AC291" s="301"/>
      <c r="AD291" s="301"/>
      <c r="AE291" s="301"/>
      <c r="AH291" s="303"/>
      <c r="AI291" s="303"/>
      <c r="AJ291" s="303"/>
      <c r="AK291" s="303"/>
      <c r="AL291" s="303"/>
      <c r="AM291" s="303"/>
      <c r="AN291" s="303"/>
      <c r="AW291" s="304"/>
      <c r="AX291" s="304"/>
      <c r="AY291" s="304"/>
      <c r="AZ291" s="304"/>
      <c r="BA291" s="304"/>
      <c r="BB291" s="304"/>
      <c r="BC291" s="304"/>
      <c r="BD291" s="304"/>
      <c r="BE291" s="304"/>
      <c r="BF291" s="304"/>
      <c r="BG291" s="304"/>
      <c r="BH291" s="304"/>
      <c r="BI291" s="304"/>
      <c r="BJ291" s="304"/>
      <c r="BK291" s="304"/>
      <c r="BL291" s="304"/>
      <c r="BM291" s="304"/>
      <c r="BN291" s="304"/>
      <c r="BO291" s="304"/>
      <c r="BP291" s="304"/>
      <c r="BQ291" s="304"/>
      <c r="BR291" s="304"/>
      <c r="BS291" s="304"/>
      <c r="BT291" s="304"/>
      <c r="BU291" s="304"/>
      <c r="BV291" s="304"/>
      <c r="BW291" s="304"/>
      <c r="BX291" s="305"/>
      <c r="BY291" s="305"/>
      <c r="BZ291" s="305"/>
      <c r="CA291" s="305"/>
      <c r="CB291" s="305"/>
      <c r="CC291" s="305"/>
      <c r="CD291" s="305"/>
      <c r="CE291" s="305"/>
      <c r="CF291" s="305"/>
      <c r="CG291" s="305"/>
      <c r="CH291" s="305"/>
      <c r="CI291" s="305"/>
      <c r="CJ291" s="305"/>
      <c r="CK291" s="305"/>
      <c r="CL291" s="305"/>
      <c r="CM291" s="305"/>
      <c r="CN291" s="305"/>
      <c r="CO291" s="305"/>
      <c r="CP291" s="305"/>
      <c r="CQ291" s="305"/>
      <c r="CR291" s="305"/>
      <c r="CS291" s="305"/>
      <c r="CT291" s="305"/>
      <c r="CU291" s="305"/>
      <c r="CV291" s="305"/>
      <c r="CW291" s="305"/>
      <c r="CX291" s="305"/>
      <c r="CY291" s="305"/>
      <c r="CZ291" s="305"/>
      <c r="DA291" s="305"/>
      <c r="DB291" s="305"/>
      <c r="DC291" s="305"/>
      <c r="DD291" s="305"/>
      <c r="DE291" s="305"/>
      <c r="DF291" s="305"/>
      <c r="DG291" s="305"/>
      <c r="DH291" s="305"/>
      <c r="DI291" s="305"/>
      <c r="DJ291" s="305"/>
      <c r="DK291" s="305"/>
      <c r="DL291" s="305"/>
      <c r="DM291" s="305"/>
      <c r="DN291" s="305"/>
      <c r="DO291" s="305"/>
      <c r="DP291" s="305"/>
      <c r="DQ291" s="305"/>
      <c r="DR291" s="305"/>
      <c r="DS291" s="304"/>
      <c r="DT291" s="304"/>
      <c r="DU291" s="304"/>
      <c r="DV291" s="304"/>
      <c r="DW291" s="304"/>
      <c r="DX291" s="304"/>
      <c r="DY291" s="304"/>
      <c r="DZ291" s="304"/>
      <c r="EA291" s="304"/>
      <c r="EB291" s="304"/>
      <c r="EC291" s="304"/>
      <c r="ED291" s="304"/>
      <c r="EE291" s="304"/>
      <c r="EF291" s="304"/>
      <c r="EG291" s="304"/>
    </row>
    <row r="292" spans="2:137" s="302" customFormat="1" ht="11.75" customHeight="1" x14ac:dyDescent="0.15">
      <c r="G292" s="300"/>
      <c r="H292" s="301"/>
      <c r="I292" s="301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  <c r="AA292" s="301"/>
      <c r="AB292" s="301"/>
      <c r="AC292" s="301"/>
      <c r="AD292" s="301"/>
      <c r="AE292" s="301"/>
      <c r="AH292" s="303"/>
      <c r="AI292" s="303"/>
      <c r="AJ292" s="303"/>
      <c r="AK292" s="303"/>
      <c r="AL292" s="303"/>
      <c r="AM292" s="303"/>
      <c r="AN292" s="303"/>
      <c r="AW292" s="304"/>
      <c r="AX292" s="304"/>
      <c r="AY292" s="304"/>
      <c r="AZ292" s="304"/>
      <c r="BA292" s="304"/>
      <c r="BB292" s="304"/>
      <c r="BC292" s="304"/>
      <c r="BD292" s="304"/>
      <c r="BE292" s="304"/>
      <c r="BF292" s="304"/>
      <c r="BG292" s="304"/>
      <c r="BH292" s="304"/>
      <c r="BI292" s="304"/>
      <c r="BJ292" s="304"/>
      <c r="BK292" s="304"/>
      <c r="BL292" s="304"/>
      <c r="BM292" s="304"/>
      <c r="BN292" s="304"/>
      <c r="BO292" s="304"/>
      <c r="BP292" s="304"/>
      <c r="BQ292" s="304"/>
      <c r="BR292" s="304"/>
      <c r="BS292" s="304"/>
      <c r="BT292" s="304"/>
      <c r="BU292" s="304"/>
      <c r="BV292" s="304"/>
      <c r="BW292" s="304"/>
      <c r="BX292" s="305"/>
      <c r="BY292" s="305"/>
      <c r="BZ292" s="305"/>
      <c r="CA292" s="305"/>
      <c r="CB292" s="305"/>
      <c r="CC292" s="305"/>
      <c r="CD292" s="305"/>
      <c r="CE292" s="305"/>
      <c r="CF292" s="305"/>
      <c r="CG292" s="305"/>
      <c r="CH292" s="305"/>
      <c r="CI292" s="305"/>
      <c r="CJ292" s="305"/>
      <c r="CK292" s="305"/>
      <c r="CL292" s="305"/>
      <c r="CM292" s="305"/>
      <c r="CN292" s="305"/>
      <c r="CO292" s="305"/>
      <c r="CP292" s="305"/>
      <c r="CQ292" s="305"/>
      <c r="CR292" s="305"/>
      <c r="CS292" s="305"/>
      <c r="CT292" s="305"/>
      <c r="CU292" s="305"/>
      <c r="CV292" s="305"/>
      <c r="CW292" s="305"/>
      <c r="CX292" s="305"/>
      <c r="CY292" s="305"/>
      <c r="CZ292" s="305"/>
      <c r="DA292" s="305"/>
      <c r="DB292" s="305"/>
      <c r="DC292" s="305"/>
      <c r="DD292" s="305"/>
      <c r="DE292" s="305"/>
      <c r="DF292" s="305"/>
      <c r="DG292" s="305"/>
      <c r="DH292" s="305"/>
      <c r="DI292" s="305"/>
      <c r="DJ292" s="305"/>
      <c r="DK292" s="305"/>
      <c r="DL292" s="305"/>
      <c r="DM292" s="305"/>
      <c r="DN292" s="305"/>
      <c r="DO292" s="305"/>
      <c r="DP292" s="305"/>
      <c r="DQ292" s="305"/>
      <c r="DR292" s="305"/>
      <c r="DS292" s="304"/>
      <c r="DT292" s="304"/>
      <c r="DU292" s="304"/>
      <c r="DV292" s="304"/>
      <c r="DW292" s="304"/>
      <c r="DX292" s="304"/>
      <c r="DY292" s="304"/>
      <c r="DZ292" s="304"/>
      <c r="EA292" s="304"/>
      <c r="EB292" s="304"/>
      <c r="EC292" s="304"/>
      <c r="ED292" s="304"/>
      <c r="EE292" s="304"/>
      <c r="EF292" s="304"/>
      <c r="EG292" s="304"/>
    </row>
    <row r="293" spans="2:137" s="302" customFormat="1" ht="11.75" customHeight="1" x14ac:dyDescent="0.15">
      <c r="G293" s="300"/>
      <c r="H293" s="301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  <c r="Z293" s="301"/>
      <c r="AA293" s="301"/>
      <c r="AB293" s="301"/>
      <c r="AC293" s="301"/>
      <c r="AD293" s="301"/>
      <c r="AE293" s="301"/>
      <c r="AH293" s="303"/>
      <c r="AI293" s="303"/>
      <c r="AJ293" s="303"/>
      <c r="AK293" s="303"/>
      <c r="AL293" s="303"/>
      <c r="AM293" s="303"/>
      <c r="AN293" s="303"/>
      <c r="AW293" s="304"/>
      <c r="AX293" s="304"/>
      <c r="AY293" s="304"/>
      <c r="AZ293" s="304"/>
      <c r="BA293" s="304"/>
      <c r="BB293" s="304"/>
      <c r="BC293" s="304"/>
      <c r="BD293" s="304"/>
      <c r="BE293" s="304"/>
      <c r="BF293" s="304"/>
      <c r="BG293" s="304"/>
      <c r="BH293" s="304"/>
      <c r="BI293" s="304"/>
      <c r="BJ293" s="304"/>
      <c r="BK293" s="304"/>
      <c r="BL293" s="304"/>
      <c r="BM293" s="304"/>
      <c r="BN293" s="304"/>
      <c r="BO293" s="304"/>
      <c r="BP293" s="304"/>
      <c r="BQ293" s="304"/>
      <c r="BR293" s="304"/>
      <c r="BS293" s="304"/>
      <c r="BT293" s="304"/>
      <c r="BU293" s="304"/>
      <c r="BV293" s="304"/>
      <c r="BW293" s="304"/>
      <c r="BX293" s="305"/>
      <c r="BY293" s="305"/>
      <c r="BZ293" s="305"/>
      <c r="CA293" s="305"/>
      <c r="CB293" s="305"/>
      <c r="CC293" s="305"/>
      <c r="CD293" s="305"/>
      <c r="CE293" s="305"/>
      <c r="CF293" s="305"/>
      <c r="CG293" s="305"/>
      <c r="CH293" s="305"/>
      <c r="CI293" s="305"/>
      <c r="CJ293" s="305"/>
      <c r="CK293" s="305"/>
      <c r="CL293" s="305"/>
      <c r="CM293" s="305"/>
      <c r="CN293" s="305"/>
      <c r="CO293" s="305"/>
      <c r="CP293" s="305"/>
      <c r="CQ293" s="305"/>
      <c r="CR293" s="305"/>
      <c r="CS293" s="305"/>
      <c r="CT293" s="305"/>
      <c r="CU293" s="305"/>
      <c r="CV293" s="305"/>
      <c r="CW293" s="305"/>
      <c r="CX293" s="305"/>
      <c r="CY293" s="305"/>
      <c r="CZ293" s="305"/>
      <c r="DA293" s="305"/>
      <c r="DB293" s="305"/>
      <c r="DC293" s="305"/>
      <c r="DD293" s="305"/>
      <c r="DE293" s="305"/>
      <c r="DF293" s="305"/>
      <c r="DG293" s="305"/>
      <c r="DH293" s="305"/>
      <c r="DI293" s="305"/>
      <c r="DJ293" s="305"/>
      <c r="DK293" s="305"/>
      <c r="DL293" s="305"/>
      <c r="DM293" s="305"/>
      <c r="DN293" s="305"/>
      <c r="DO293" s="305"/>
      <c r="DP293" s="305"/>
      <c r="DQ293" s="305"/>
      <c r="DR293" s="305"/>
      <c r="DS293" s="304"/>
      <c r="DT293" s="304"/>
      <c r="DU293" s="304"/>
      <c r="DV293" s="304"/>
      <c r="DW293" s="304"/>
      <c r="DX293" s="304"/>
      <c r="DY293" s="304"/>
      <c r="DZ293" s="304"/>
      <c r="EA293" s="304"/>
      <c r="EB293" s="304"/>
      <c r="EC293" s="304"/>
      <c r="ED293" s="304"/>
      <c r="EE293" s="304"/>
      <c r="EF293" s="304"/>
      <c r="EG293" s="304"/>
    </row>
    <row r="294" spans="2:137" s="302" customFormat="1" ht="11.75" customHeight="1" x14ac:dyDescent="0.15">
      <c r="G294" s="300"/>
      <c r="H294" s="301"/>
      <c r="I294" s="301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  <c r="AA294" s="301"/>
      <c r="AB294" s="301"/>
      <c r="AC294" s="301"/>
      <c r="AD294" s="301"/>
      <c r="AE294" s="301"/>
      <c r="AH294" s="303"/>
      <c r="AI294" s="303"/>
      <c r="AJ294" s="303"/>
      <c r="AK294" s="303"/>
      <c r="AL294" s="303"/>
      <c r="AM294" s="303"/>
      <c r="AN294" s="303"/>
      <c r="AW294" s="304"/>
      <c r="AX294" s="304"/>
      <c r="AY294" s="304"/>
      <c r="AZ294" s="304"/>
      <c r="BA294" s="304"/>
      <c r="BB294" s="304"/>
      <c r="BC294" s="304"/>
      <c r="BD294" s="304"/>
      <c r="BE294" s="304"/>
      <c r="BF294" s="304"/>
      <c r="BG294" s="304"/>
      <c r="BH294" s="304"/>
      <c r="BI294" s="304"/>
      <c r="BJ294" s="304"/>
      <c r="BK294" s="304"/>
      <c r="BL294" s="304"/>
      <c r="BM294" s="304"/>
      <c r="BN294" s="304"/>
      <c r="BO294" s="304"/>
      <c r="BP294" s="304"/>
      <c r="BQ294" s="304"/>
      <c r="BR294" s="304"/>
      <c r="BS294" s="304"/>
      <c r="BT294" s="304"/>
      <c r="BU294" s="304"/>
      <c r="BV294" s="304"/>
      <c r="BW294" s="304"/>
      <c r="BX294" s="305"/>
      <c r="BY294" s="305"/>
      <c r="BZ294" s="305"/>
      <c r="CA294" s="305"/>
      <c r="CB294" s="305"/>
      <c r="CC294" s="305"/>
      <c r="CD294" s="305"/>
      <c r="CE294" s="305"/>
      <c r="CF294" s="305"/>
      <c r="CG294" s="305"/>
      <c r="CH294" s="305"/>
      <c r="CI294" s="305"/>
      <c r="CJ294" s="305"/>
      <c r="CK294" s="305"/>
      <c r="CL294" s="305"/>
      <c r="CM294" s="305"/>
      <c r="CN294" s="305"/>
      <c r="CO294" s="305"/>
      <c r="CP294" s="305"/>
      <c r="CQ294" s="305"/>
      <c r="CR294" s="305"/>
      <c r="CS294" s="305"/>
      <c r="CT294" s="305"/>
      <c r="CU294" s="305"/>
      <c r="CV294" s="305"/>
      <c r="CW294" s="305"/>
      <c r="CX294" s="305"/>
      <c r="CY294" s="305"/>
      <c r="CZ294" s="305"/>
      <c r="DA294" s="305"/>
      <c r="DB294" s="305"/>
      <c r="DC294" s="305"/>
      <c r="DD294" s="305"/>
      <c r="DE294" s="305"/>
      <c r="DF294" s="305"/>
      <c r="DG294" s="305"/>
      <c r="DH294" s="305"/>
      <c r="DI294" s="305"/>
      <c r="DJ294" s="305"/>
      <c r="DK294" s="305"/>
      <c r="DL294" s="305"/>
      <c r="DM294" s="305"/>
      <c r="DN294" s="305"/>
      <c r="DO294" s="305"/>
      <c r="DP294" s="305"/>
      <c r="DQ294" s="305"/>
      <c r="DR294" s="305"/>
      <c r="DS294" s="304"/>
      <c r="DT294" s="304"/>
      <c r="DU294" s="304"/>
      <c r="DV294" s="304"/>
      <c r="DW294" s="304"/>
      <c r="DX294" s="304"/>
      <c r="DY294" s="304"/>
      <c r="DZ294" s="304"/>
      <c r="EA294" s="304"/>
      <c r="EB294" s="304"/>
      <c r="EC294" s="304"/>
      <c r="ED294" s="304"/>
      <c r="EE294" s="304"/>
      <c r="EF294" s="304"/>
      <c r="EG294" s="304"/>
    </row>
    <row r="295" spans="2:137" s="302" customFormat="1" ht="11.75" customHeight="1" x14ac:dyDescent="0.15">
      <c r="G295" s="300"/>
      <c r="H295" s="301"/>
      <c r="I295" s="301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  <c r="AA295" s="301"/>
      <c r="AB295" s="301"/>
      <c r="AC295" s="301"/>
      <c r="AD295" s="301"/>
      <c r="AE295" s="301"/>
      <c r="AH295" s="303"/>
      <c r="AI295" s="303"/>
      <c r="AJ295" s="303"/>
      <c r="AK295" s="303"/>
      <c r="AL295" s="303"/>
      <c r="AM295" s="303"/>
      <c r="AN295" s="303"/>
      <c r="AW295" s="304"/>
      <c r="AX295" s="304"/>
      <c r="AY295" s="304"/>
      <c r="AZ295" s="304"/>
      <c r="BA295" s="304"/>
      <c r="BB295" s="304"/>
      <c r="BC295" s="304"/>
      <c r="BD295" s="304"/>
      <c r="BE295" s="304"/>
      <c r="BF295" s="304"/>
      <c r="BG295" s="304"/>
      <c r="BH295" s="304"/>
      <c r="BI295" s="304"/>
      <c r="BJ295" s="304"/>
      <c r="BK295" s="304"/>
      <c r="BL295" s="304"/>
      <c r="BM295" s="304"/>
      <c r="BN295" s="304"/>
      <c r="BO295" s="304"/>
      <c r="BP295" s="304"/>
      <c r="BQ295" s="304"/>
      <c r="BR295" s="304"/>
      <c r="BS295" s="304"/>
      <c r="BT295" s="304"/>
      <c r="BU295" s="304"/>
      <c r="BV295" s="304"/>
      <c r="BW295" s="304"/>
      <c r="BX295" s="305"/>
      <c r="BY295" s="305"/>
      <c r="BZ295" s="305"/>
      <c r="CA295" s="305"/>
      <c r="CB295" s="305"/>
      <c r="CC295" s="305"/>
      <c r="CD295" s="305"/>
      <c r="CE295" s="305"/>
      <c r="CF295" s="305"/>
      <c r="CG295" s="305"/>
      <c r="CH295" s="305"/>
      <c r="CI295" s="305"/>
      <c r="CJ295" s="305"/>
      <c r="CK295" s="305"/>
      <c r="CL295" s="305"/>
      <c r="CM295" s="305"/>
      <c r="CN295" s="305"/>
      <c r="CO295" s="305"/>
      <c r="CP295" s="305"/>
      <c r="CQ295" s="305"/>
      <c r="CR295" s="305"/>
      <c r="CS295" s="305"/>
      <c r="CT295" s="305"/>
      <c r="CU295" s="305"/>
      <c r="CV295" s="305"/>
      <c r="CW295" s="305"/>
      <c r="CX295" s="305"/>
      <c r="CY295" s="305"/>
      <c r="CZ295" s="305"/>
      <c r="DA295" s="305"/>
      <c r="DB295" s="305"/>
      <c r="DC295" s="305"/>
      <c r="DD295" s="305"/>
      <c r="DE295" s="305"/>
      <c r="DF295" s="305"/>
      <c r="DG295" s="305"/>
      <c r="DH295" s="305"/>
      <c r="DI295" s="305"/>
      <c r="DJ295" s="305"/>
      <c r="DK295" s="305"/>
      <c r="DL295" s="305"/>
      <c r="DM295" s="305"/>
      <c r="DN295" s="305"/>
      <c r="DO295" s="305"/>
      <c r="DP295" s="305"/>
      <c r="DQ295" s="305"/>
      <c r="DR295" s="305"/>
      <c r="DS295" s="304"/>
      <c r="DT295" s="304"/>
      <c r="DU295" s="304"/>
      <c r="DV295" s="304"/>
      <c r="DW295" s="304"/>
      <c r="DX295" s="304"/>
      <c r="DY295" s="304"/>
      <c r="DZ295" s="304"/>
      <c r="EA295" s="304"/>
      <c r="EB295" s="304"/>
      <c r="EC295" s="304"/>
      <c r="ED295" s="304"/>
      <c r="EE295" s="304"/>
      <c r="EF295" s="304"/>
      <c r="EG295" s="304"/>
    </row>
    <row r="296" spans="2:137" s="306" customFormat="1" ht="11.75" customHeight="1" x14ac:dyDescent="0.15"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  <c r="Z296" s="307"/>
      <c r="AA296" s="307"/>
      <c r="AB296" s="307"/>
      <c r="AC296" s="307"/>
      <c r="AD296" s="307"/>
      <c r="AE296" s="307"/>
      <c r="BX296" s="307"/>
      <c r="BY296" s="307"/>
      <c r="BZ296" s="307"/>
      <c r="CA296" s="307"/>
      <c r="CB296" s="307"/>
      <c r="CC296" s="307"/>
      <c r="CD296" s="307"/>
      <c r="CE296" s="307"/>
      <c r="CF296" s="307"/>
      <c r="CG296" s="307"/>
      <c r="CH296" s="307"/>
      <c r="CI296" s="307"/>
      <c r="CJ296" s="307"/>
      <c r="CK296" s="307"/>
      <c r="CL296" s="307"/>
      <c r="CM296" s="307"/>
      <c r="CN296" s="307"/>
      <c r="CO296" s="307"/>
      <c r="CP296" s="307"/>
      <c r="CQ296" s="307"/>
      <c r="CR296" s="307"/>
      <c r="CS296" s="307"/>
      <c r="CT296" s="307"/>
      <c r="CU296" s="307"/>
      <c r="CV296" s="307"/>
      <c r="CW296" s="307"/>
      <c r="CX296" s="307"/>
      <c r="CY296" s="307"/>
      <c r="CZ296" s="307"/>
      <c r="DA296" s="307"/>
      <c r="DB296" s="307"/>
      <c r="DC296" s="307"/>
      <c r="DD296" s="307"/>
      <c r="DE296" s="307"/>
      <c r="DF296" s="307"/>
      <c r="DG296" s="307"/>
      <c r="DH296" s="307"/>
      <c r="DI296" s="307"/>
      <c r="DJ296" s="307"/>
      <c r="DK296" s="307"/>
      <c r="DL296" s="307"/>
      <c r="DM296" s="307"/>
      <c r="DN296" s="307"/>
      <c r="DO296" s="307"/>
      <c r="DP296" s="307"/>
      <c r="DQ296" s="307"/>
      <c r="DR296" s="307"/>
    </row>
    <row r="297" spans="2:137" s="306" customFormat="1" ht="11.75" customHeight="1" x14ac:dyDescent="0.15">
      <c r="B297" s="308"/>
      <c r="C297" s="308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  <c r="AA297" s="307"/>
      <c r="AB297" s="307"/>
      <c r="AC297" s="307"/>
      <c r="AD297" s="307"/>
      <c r="AE297" s="307"/>
      <c r="BX297" s="307"/>
      <c r="BY297" s="307"/>
      <c r="BZ297" s="307"/>
      <c r="CA297" s="307"/>
      <c r="CB297" s="307"/>
      <c r="CC297" s="307"/>
      <c r="CD297" s="307"/>
      <c r="CE297" s="307"/>
      <c r="CF297" s="307"/>
      <c r="CG297" s="307"/>
      <c r="CH297" s="307"/>
      <c r="CI297" s="307"/>
      <c r="CJ297" s="307"/>
      <c r="CK297" s="307"/>
      <c r="CL297" s="307"/>
      <c r="CM297" s="307"/>
      <c r="CN297" s="307"/>
      <c r="CO297" s="307"/>
      <c r="CP297" s="307"/>
      <c r="CQ297" s="307"/>
      <c r="CR297" s="307"/>
      <c r="CS297" s="307"/>
      <c r="CT297" s="307"/>
      <c r="CU297" s="307"/>
      <c r="CV297" s="307"/>
      <c r="CW297" s="307"/>
      <c r="CX297" s="307"/>
      <c r="CY297" s="307"/>
      <c r="CZ297" s="307"/>
      <c r="DA297" s="307"/>
      <c r="DB297" s="307"/>
      <c r="DC297" s="307"/>
      <c r="DD297" s="307"/>
      <c r="DE297" s="307"/>
      <c r="DF297" s="307"/>
      <c r="DG297" s="307"/>
      <c r="DH297" s="307"/>
      <c r="DI297" s="307"/>
      <c r="DJ297" s="307"/>
      <c r="DK297" s="307"/>
      <c r="DL297" s="307"/>
      <c r="DM297" s="307"/>
      <c r="DN297" s="307"/>
      <c r="DO297" s="307"/>
      <c r="DP297" s="307"/>
      <c r="DQ297" s="307"/>
      <c r="DR297" s="307"/>
    </row>
    <row r="298" spans="2:137" s="306" customFormat="1" ht="11.75" customHeight="1" x14ac:dyDescent="0.15"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  <c r="AA298" s="307"/>
      <c r="AB298" s="307"/>
      <c r="AC298" s="307"/>
      <c r="AD298" s="307"/>
      <c r="AE298" s="307"/>
      <c r="BA298" s="307"/>
      <c r="BB298" s="307"/>
      <c r="BC298" s="307"/>
      <c r="BD298" s="307"/>
      <c r="BE298" s="307"/>
      <c r="BF298" s="307"/>
      <c r="BG298" s="307"/>
      <c r="BH298" s="307"/>
      <c r="BI298" s="307"/>
      <c r="BJ298" s="307"/>
      <c r="BK298" s="307"/>
      <c r="BL298" s="307"/>
      <c r="BM298" s="307"/>
      <c r="BN298" s="307"/>
      <c r="BO298" s="307"/>
      <c r="BP298" s="307"/>
      <c r="BQ298" s="307"/>
      <c r="BR298" s="307"/>
      <c r="BS298" s="307"/>
      <c r="BT298" s="307"/>
      <c r="BU298" s="307"/>
      <c r="BV298" s="307"/>
      <c r="BW298" s="307"/>
      <c r="BX298" s="307"/>
      <c r="BY298" s="307"/>
      <c r="BZ298" s="307"/>
      <c r="CA298" s="307"/>
      <c r="CB298" s="307"/>
      <c r="CC298" s="307"/>
      <c r="CD298" s="307"/>
      <c r="CE298" s="307"/>
      <c r="CF298" s="307"/>
      <c r="CG298" s="307"/>
      <c r="CH298" s="307"/>
      <c r="CI298" s="307"/>
      <c r="CJ298" s="307"/>
      <c r="CK298" s="307"/>
      <c r="CL298" s="307"/>
      <c r="CM298" s="307"/>
      <c r="CN298" s="307"/>
      <c r="CO298" s="307"/>
      <c r="CP298" s="307"/>
      <c r="CQ298" s="307"/>
      <c r="CR298" s="307"/>
      <c r="CS298" s="307"/>
      <c r="CT298" s="307"/>
      <c r="CU298" s="307"/>
      <c r="CV298" s="307"/>
      <c r="CW298" s="307"/>
      <c r="CX298" s="307"/>
      <c r="CY298" s="307"/>
      <c r="CZ298" s="307"/>
      <c r="DA298" s="307"/>
      <c r="DB298" s="307"/>
      <c r="DC298" s="307"/>
      <c r="DD298" s="307"/>
      <c r="DE298" s="307"/>
      <c r="DF298" s="307"/>
      <c r="DG298" s="307"/>
      <c r="DH298" s="307"/>
      <c r="DI298" s="307"/>
      <c r="DJ298" s="307"/>
      <c r="DK298" s="307"/>
      <c r="DL298" s="307"/>
      <c r="DM298" s="307"/>
      <c r="DN298" s="307"/>
      <c r="DO298" s="307"/>
      <c r="DP298" s="307"/>
      <c r="DQ298" s="307"/>
      <c r="DR298" s="307"/>
    </row>
    <row r="299" spans="2:137" s="306" customFormat="1" ht="11.75" customHeight="1" x14ac:dyDescent="0.15"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  <c r="AA299" s="307"/>
      <c r="AB299" s="307"/>
      <c r="AC299" s="307"/>
      <c r="AD299" s="307"/>
      <c r="AE299" s="307"/>
      <c r="BA299" s="307"/>
      <c r="BB299" s="307"/>
      <c r="BC299" s="307"/>
      <c r="BD299" s="307"/>
      <c r="BE299" s="307"/>
      <c r="BF299" s="307"/>
      <c r="BG299" s="307"/>
      <c r="BH299" s="307"/>
      <c r="BI299" s="307"/>
      <c r="BJ299" s="307"/>
      <c r="BK299" s="307"/>
      <c r="BL299" s="307"/>
      <c r="BM299" s="307"/>
      <c r="BN299" s="307"/>
      <c r="BO299" s="307"/>
      <c r="BP299" s="307"/>
      <c r="BQ299" s="307"/>
      <c r="BR299" s="307"/>
      <c r="BS299" s="307"/>
      <c r="BT299" s="307"/>
      <c r="BU299" s="307"/>
      <c r="BV299" s="307"/>
      <c r="BW299" s="307"/>
      <c r="BX299" s="307"/>
      <c r="BY299" s="307"/>
      <c r="BZ299" s="307"/>
      <c r="CA299" s="307"/>
      <c r="CB299" s="307"/>
      <c r="CC299" s="307"/>
      <c r="CD299" s="307"/>
      <c r="CE299" s="307"/>
      <c r="CF299" s="307"/>
      <c r="CG299" s="307"/>
      <c r="CH299" s="309"/>
      <c r="CI299" s="307"/>
      <c r="CJ299" s="307"/>
      <c r="CK299" s="307"/>
      <c r="CL299" s="307"/>
      <c r="CM299" s="307"/>
      <c r="CN299" s="307"/>
      <c r="CO299" s="307"/>
      <c r="CP299" s="307"/>
      <c r="CQ299" s="307"/>
      <c r="CR299" s="307"/>
      <c r="CS299" s="307"/>
      <c r="CT299" s="307"/>
      <c r="CU299" s="307"/>
      <c r="CV299" s="307"/>
      <c r="CW299" s="307"/>
      <c r="CX299" s="307"/>
      <c r="CY299" s="307"/>
      <c r="CZ299" s="307"/>
      <c r="DA299" s="307"/>
      <c r="DB299" s="307"/>
      <c r="DC299" s="307"/>
      <c r="DD299" s="307"/>
      <c r="DE299" s="307"/>
      <c r="DF299" s="307"/>
      <c r="DG299" s="307"/>
      <c r="DH299" s="307"/>
      <c r="DI299" s="307"/>
      <c r="DJ299" s="307"/>
      <c r="DK299" s="307"/>
      <c r="DL299" s="307"/>
      <c r="DM299" s="307"/>
      <c r="DN299" s="307"/>
      <c r="DO299" s="307"/>
      <c r="DP299" s="307"/>
      <c r="DQ299" s="307"/>
      <c r="DR299" s="307"/>
    </row>
    <row r="300" spans="2:137" s="306" customFormat="1" ht="11.75" customHeight="1" x14ac:dyDescent="0.15"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  <c r="Z300" s="307"/>
      <c r="AA300" s="307"/>
      <c r="AB300" s="307"/>
      <c r="AC300" s="307"/>
      <c r="AD300" s="307"/>
      <c r="AE300" s="307"/>
      <c r="BA300" s="307"/>
      <c r="BB300" s="307"/>
      <c r="BC300" s="307"/>
      <c r="BD300" s="307"/>
      <c r="BE300" s="307"/>
      <c r="BF300" s="307"/>
      <c r="BG300" s="307"/>
      <c r="BH300" s="307"/>
      <c r="BI300" s="307"/>
      <c r="BJ300" s="307"/>
      <c r="BK300" s="307"/>
      <c r="BL300" s="307"/>
      <c r="BM300" s="307"/>
      <c r="BN300" s="307"/>
      <c r="BO300" s="307"/>
      <c r="BP300" s="307"/>
      <c r="BQ300" s="307"/>
      <c r="BR300" s="307"/>
      <c r="BS300" s="307"/>
      <c r="BT300" s="307"/>
      <c r="BU300" s="307"/>
      <c r="BV300" s="307"/>
      <c r="BW300" s="307"/>
      <c r="BX300" s="307"/>
      <c r="BY300" s="307"/>
      <c r="BZ300" s="307"/>
      <c r="CA300" s="307"/>
      <c r="CB300" s="307"/>
      <c r="CC300" s="307"/>
      <c r="CD300" s="307"/>
      <c r="CE300" s="307"/>
      <c r="CF300" s="307"/>
      <c r="CG300" s="307"/>
      <c r="CH300" s="307"/>
      <c r="CI300" s="307"/>
      <c r="CJ300" s="307"/>
      <c r="CK300" s="307"/>
      <c r="CL300" s="307"/>
      <c r="CM300" s="307"/>
      <c r="CN300" s="307"/>
      <c r="CO300" s="307"/>
      <c r="CP300" s="307"/>
      <c r="CQ300" s="307"/>
      <c r="CR300" s="307"/>
      <c r="CS300" s="307"/>
      <c r="CT300" s="307"/>
      <c r="CU300" s="307"/>
      <c r="CV300" s="307"/>
      <c r="CW300" s="307"/>
      <c r="CX300" s="307"/>
      <c r="CY300" s="307"/>
      <c r="CZ300" s="307"/>
      <c r="DA300" s="307"/>
      <c r="DB300" s="307"/>
      <c r="DC300" s="307"/>
      <c r="DD300" s="307"/>
      <c r="DE300" s="307"/>
      <c r="DF300" s="307"/>
      <c r="DG300" s="307"/>
      <c r="DH300" s="307"/>
      <c r="DI300" s="307"/>
      <c r="DJ300" s="307"/>
      <c r="DK300" s="307"/>
      <c r="DL300" s="307"/>
      <c r="DM300" s="307"/>
      <c r="DN300" s="307"/>
      <c r="DO300" s="307"/>
      <c r="DP300" s="307"/>
      <c r="DQ300" s="307"/>
      <c r="DR300" s="307"/>
    </row>
    <row r="301" spans="2:137" s="306" customFormat="1" ht="11.75" customHeight="1" x14ac:dyDescent="0.15"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  <c r="Z301" s="307"/>
      <c r="AA301" s="307"/>
      <c r="AB301" s="307"/>
      <c r="AC301" s="307"/>
      <c r="AD301" s="307"/>
      <c r="AE301" s="307"/>
      <c r="BA301" s="307"/>
      <c r="BB301" s="307"/>
      <c r="BC301" s="307"/>
      <c r="BD301" s="307"/>
      <c r="BE301" s="307"/>
      <c r="BF301" s="307"/>
      <c r="BG301" s="307"/>
      <c r="BH301" s="307"/>
      <c r="BI301" s="307"/>
      <c r="BJ301" s="307"/>
      <c r="BK301" s="307"/>
      <c r="BL301" s="307"/>
      <c r="BM301" s="307"/>
      <c r="BN301" s="307"/>
      <c r="BO301" s="307"/>
      <c r="BP301" s="307"/>
      <c r="BQ301" s="307"/>
      <c r="BR301" s="307"/>
      <c r="BS301" s="307"/>
      <c r="BT301" s="307"/>
      <c r="BU301" s="307"/>
      <c r="BV301" s="307"/>
      <c r="BW301" s="307"/>
      <c r="BX301" s="307"/>
      <c r="BY301" s="307"/>
      <c r="BZ301" s="307"/>
      <c r="CA301" s="307"/>
      <c r="CB301" s="307"/>
      <c r="CC301" s="307"/>
      <c r="CD301" s="307"/>
      <c r="CE301" s="307"/>
      <c r="CF301" s="307"/>
      <c r="CG301" s="307"/>
      <c r="CH301" s="307"/>
      <c r="CI301" s="307"/>
      <c r="CJ301" s="307"/>
      <c r="CK301" s="307"/>
      <c r="CL301" s="307"/>
      <c r="CM301" s="307"/>
      <c r="CN301" s="307"/>
      <c r="CO301" s="307"/>
      <c r="CP301" s="307"/>
      <c r="CQ301" s="307"/>
      <c r="CR301" s="307"/>
      <c r="CS301" s="307"/>
      <c r="CT301" s="307"/>
      <c r="CU301" s="307"/>
      <c r="CV301" s="307"/>
      <c r="CW301" s="307"/>
      <c r="CX301" s="307"/>
      <c r="CY301" s="307"/>
      <c r="CZ301" s="307"/>
      <c r="DA301" s="307"/>
      <c r="DB301" s="307"/>
      <c r="DC301" s="307"/>
      <c r="DD301" s="307"/>
      <c r="DE301" s="307"/>
      <c r="DF301" s="307"/>
      <c r="DG301" s="307"/>
      <c r="DH301" s="307"/>
      <c r="DI301" s="307"/>
      <c r="DJ301" s="307"/>
      <c r="DK301" s="307"/>
      <c r="DL301" s="307"/>
      <c r="DM301" s="307"/>
      <c r="DN301" s="307"/>
      <c r="DO301" s="307"/>
      <c r="DP301" s="307"/>
      <c r="DQ301" s="307"/>
      <c r="DR301" s="307"/>
    </row>
    <row r="302" spans="2:137" s="306" customFormat="1" ht="11.75" customHeight="1" x14ac:dyDescent="0.15"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  <c r="AA302" s="307"/>
      <c r="AB302" s="307"/>
      <c r="AC302" s="307"/>
      <c r="AD302" s="307"/>
      <c r="AE302" s="307"/>
      <c r="BA302" s="307"/>
      <c r="BB302" s="307"/>
      <c r="BC302" s="307"/>
      <c r="BD302" s="307"/>
      <c r="BE302" s="307"/>
      <c r="BF302" s="307"/>
      <c r="BG302" s="307"/>
      <c r="BH302" s="307"/>
      <c r="BI302" s="307"/>
      <c r="BJ302" s="307"/>
      <c r="BK302" s="307"/>
      <c r="BL302" s="307"/>
      <c r="BM302" s="307"/>
      <c r="BN302" s="307"/>
      <c r="BO302" s="307"/>
      <c r="BP302" s="307"/>
      <c r="BQ302" s="307"/>
      <c r="BR302" s="307"/>
      <c r="BS302" s="307"/>
      <c r="BT302" s="307"/>
      <c r="BU302" s="307"/>
      <c r="BV302" s="307"/>
      <c r="BW302" s="307"/>
      <c r="BX302" s="307"/>
      <c r="BY302" s="307"/>
      <c r="BZ302" s="307"/>
      <c r="CA302" s="307"/>
      <c r="CB302" s="307"/>
      <c r="CC302" s="307"/>
      <c r="CD302" s="307"/>
      <c r="CE302" s="307"/>
      <c r="CF302" s="307"/>
      <c r="CG302" s="307"/>
      <c r="CH302" s="307"/>
      <c r="CI302" s="307"/>
      <c r="CJ302" s="307"/>
      <c r="CK302" s="307"/>
      <c r="CL302" s="307"/>
      <c r="CM302" s="307"/>
      <c r="CN302" s="307"/>
      <c r="CO302" s="307"/>
      <c r="CP302" s="307"/>
      <c r="CQ302" s="307"/>
      <c r="CR302" s="307"/>
      <c r="CS302" s="307"/>
      <c r="CT302" s="307"/>
      <c r="CU302" s="307"/>
      <c r="CV302" s="307"/>
      <c r="CW302" s="307"/>
      <c r="CX302" s="307"/>
      <c r="CY302" s="307"/>
      <c r="CZ302" s="307"/>
      <c r="DA302" s="307"/>
      <c r="DB302" s="307"/>
      <c r="DC302" s="307"/>
      <c r="DD302" s="307"/>
      <c r="DE302" s="307"/>
      <c r="DF302" s="307"/>
      <c r="DG302" s="307"/>
      <c r="DH302" s="307"/>
      <c r="DI302" s="307"/>
      <c r="DJ302" s="307"/>
      <c r="DK302" s="307"/>
      <c r="DL302" s="307"/>
      <c r="DM302" s="307"/>
      <c r="DN302" s="307"/>
      <c r="DO302" s="307"/>
      <c r="DP302" s="307"/>
      <c r="DQ302" s="307"/>
      <c r="DR302" s="307"/>
    </row>
    <row r="303" spans="2:137" s="306" customFormat="1" ht="11.75" customHeight="1" x14ac:dyDescent="0.15"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  <c r="AA303" s="307"/>
      <c r="AB303" s="307"/>
      <c r="AC303" s="307"/>
      <c r="AD303" s="307"/>
      <c r="AE303" s="307"/>
      <c r="BA303" s="307"/>
      <c r="BB303" s="307"/>
      <c r="BC303" s="307"/>
      <c r="BD303" s="307"/>
      <c r="BE303" s="307"/>
      <c r="BF303" s="307"/>
      <c r="BG303" s="307"/>
      <c r="BH303" s="307"/>
      <c r="BI303" s="307"/>
      <c r="BJ303" s="307"/>
      <c r="BK303" s="307"/>
      <c r="BL303" s="307"/>
      <c r="BM303" s="307"/>
      <c r="BN303" s="307"/>
      <c r="BO303" s="307"/>
      <c r="BP303" s="307"/>
      <c r="BQ303" s="307"/>
      <c r="BR303" s="307"/>
      <c r="BS303" s="307"/>
      <c r="BT303" s="307"/>
      <c r="BU303" s="307"/>
      <c r="BV303" s="307"/>
      <c r="BW303" s="307"/>
      <c r="BX303" s="307"/>
      <c r="BY303" s="307"/>
      <c r="BZ303" s="307"/>
      <c r="CA303" s="307"/>
      <c r="CB303" s="307"/>
      <c r="CC303" s="307"/>
      <c r="CD303" s="307"/>
      <c r="CE303" s="307"/>
      <c r="CF303" s="307"/>
      <c r="CG303" s="307"/>
      <c r="CH303" s="307"/>
      <c r="CI303" s="307"/>
      <c r="CJ303" s="307"/>
      <c r="CK303" s="307"/>
      <c r="CL303" s="307"/>
      <c r="CM303" s="307"/>
      <c r="CN303" s="307"/>
      <c r="CO303" s="307"/>
      <c r="CP303" s="307"/>
      <c r="CQ303" s="307"/>
      <c r="CR303" s="307"/>
      <c r="CS303" s="307"/>
      <c r="CT303" s="307"/>
      <c r="CU303" s="307"/>
      <c r="CV303" s="307"/>
      <c r="CW303" s="307"/>
      <c r="CX303" s="307"/>
      <c r="CY303" s="307"/>
      <c r="CZ303" s="307"/>
      <c r="DA303" s="307"/>
      <c r="DB303" s="307"/>
      <c r="DC303" s="307"/>
      <c r="DD303" s="307"/>
      <c r="DE303" s="307"/>
      <c r="DF303" s="307"/>
      <c r="DG303" s="307"/>
      <c r="DH303" s="307"/>
      <c r="DI303" s="307"/>
      <c r="DJ303" s="307"/>
      <c r="DK303" s="307"/>
      <c r="DL303" s="307"/>
      <c r="DM303" s="307"/>
      <c r="DN303" s="307"/>
      <c r="DO303" s="307"/>
      <c r="DP303" s="307"/>
      <c r="DQ303" s="307"/>
      <c r="DR303" s="307"/>
    </row>
    <row r="304" spans="2:137" s="306" customFormat="1" ht="11.75" customHeight="1" x14ac:dyDescent="0.15"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  <c r="Z304" s="307"/>
      <c r="AA304" s="307"/>
      <c r="AB304" s="307"/>
      <c r="AC304" s="307"/>
      <c r="AD304" s="307"/>
      <c r="AE304" s="307"/>
      <c r="BA304" s="307"/>
      <c r="BB304" s="307"/>
      <c r="BC304" s="307"/>
      <c r="BD304" s="307"/>
      <c r="BE304" s="307"/>
      <c r="BF304" s="307"/>
      <c r="BG304" s="307"/>
      <c r="BH304" s="307"/>
      <c r="BI304" s="307"/>
      <c r="BJ304" s="307"/>
      <c r="BK304" s="307"/>
      <c r="BL304" s="307"/>
      <c r="BM304" s="307"/>
      <c r="BN304" s="307"/>
      <c r="BO304" s="307"/>
      <c r="BP304" s="307"/>
      <c r="BQ304" s="307"/>
      <c r="BR304" s="307"/>
      <c r="BS304" s="307"/>
      <c r="BT304" s="307"/>
      <c r="BU304" s="307"/>
      <c r="BV304" s="307"/>
      <c r="BW304" s="307"/>
      <c r="BX304" s="307"/>
      <c r="BY304" s="307"/>
      <c r="BZ304" s="307"/>
      <c r="CA304" s="310"/>
      <c r="CB304" s="310"/>
      <c r="CC304" s="307"/>
      <c r="CD304" s="307"/>
      <c r="CE304" s="307"/>
      <c r="CF304" s="311"/>
      <c r="CG304" s="311"/>
      <c r="CH304" s="311"/>
      <c r="CI304" s="311"/>
      <c r="CJ304" s="311"/>
      <c r="CK304" s="311"/>
      <c r="CL304" s="311"/>
      <c r="CM304" s="311"/>
      <c r="CN304" s="311"/>
      <c r="CO304" s="311"/>
      <c r="CP304" s="311"/>
      <c r="CQ304" s="311"/>
      <c r="CR304" s="311"/>
      <c r="CS304" s="311"/>
      <c r="CT304" s="311"/>
      <c r="CU304" s="311"/>
      <c r="CV304" s="311"/>
      <c r="CW304" s="311"/>
      <c r="CX304" s="311"/>
      <c r="CY304" s="311"/>
      <c r="CZ304" s="311"/>
      <c r="DA304" s="311"/>
      <c r="DB304" s="311"/>
      <c r="DC304" s="311"/>
      <c r="DD304" s="311"/>
      <c r="DE304" s="311"/>
      <c r="DF304" s="311"/>
      <c r="DG304" s="311"/>
      <c r="DH304" s="311"/>
      <c r="DI304" s="311"/>
      <c r="DJ304" s="311"/>
      <c r="DK304" s="311"/>
      <c r="DL304" s="311"/>
      <c r="DM304" s="311"/>
      <c r="DN304" s="311"/>
      <c r="DO304" s="307"/>
      <c r="DP304" s="307"/>
      <c r="DQ304" s="307"/>
      <c r="DR304" s="307"/>
    </row>
    <row r="305" spans="7:122" s="306" customFormat="1" ht="11.75" customHeight="1" x14ac:dyDescent="0.15"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  <c r="AA305" s="307"/>
      <c r="AB305" s="307"/>
      <c r="AC305" s="307"/>
      <c r="AD305" s="307"/>
      <c r="AE305" s="307"/>
      <c r="BA305" s="307"/>
      <c r="BB305" s="307"/>
      <c r="BC305" s="307"/>
      <c r="BD305" s="307"/>
      <c r="BE305" s="307"/>
      <c r="BF305" s="307"/>
      <c r="BG305" s="307"/>
      <c r="BH305" s="307"/>
      <c r="BI305" s="307"/>
      <c r="BJ305" s="307"/>
      <c r="BK305" s="307"/>
      <c r="BL305" s="307"/>
      <c r="BM305" s="307"/>
      <c r="BN305" s="307"/>
      <c r="BO305" s="307"/>
      <c r="BP305" s="307"/>
      <c r="BQ305" s="307"/>
      <c r="BR305" s="307"/>
      <c r="BS305" s="307"/>
      <c r="BT305" s="307"/>
      <c r="BU305" s="307"/>
      <c r="BV305" s="307"/>
      <c r="BW305" s="307"/>
      <c r="BX305" s="307"/>
      <c r="BY305" s="307"/>
      <c r="BZ305" s="307"/>
      <c r="CA305" s="307"/>
      <c r="CB305" s="307"/>
      <c r="CC305" s="307"/>
      <c r="CD305" s="307"/>
      <c r="CE305" s="307"/>
      <c r="CF305" s="307"/>
      <c r="CG305" s="307"/>
      <c r="CH305" s="307"/>
      <c r="CI305" s="307"/>
      <c r="CJ305" s="307"/>
      <c r="CK305" s="307"/>
      <c r="CL305" s="307"/>
      <c r="CM305" s="307"/>
      <c r="CN305" s="307"/>
      <c r="CO305" s="307"/>
      <c r="CP305" s="307"/>
      <c r="CQ305" s="307"/>
      <c r="CR305" s="307"/>
      <c r="CS305" s="307"/>
      <c r="CT305" s="307"/>
      <c r="CU305" s="307"/>
      <c r="CV305" s="307"/>
      <c r="CW305" s="307"/>
      <c r="CX305" s="307"/>
      <c r="CY305" s="307"/>
      <c r="CZ305" s="307"/>
      <c r="DA305" s="307"/>
      <c r="DB305" s="307"/>
      <c r="DC305" s="307"/>
      <c r="DD305" s="307"/>
      <c r="DE305" s="307"/>
      <c r="DF305" s="307"/>
      <c r="DG305" s="307"/>
      <c r="DH305" s="307"/>
      <c r="DI305" s="307"/>
      <c r="DJ305" s="307"/>
      <c r="DK305" s="307"/>
      <c r="DL305" s="307"/>
      <c r="DM305" s="307"/>
      <c r="DN305" s="307"/>
      <c r="DO305" s="307"/>
      <c r="DP305" s="307"/>
      <c r="DQ305" s="307"/>
      <c r="DR305" s="307"/>
    </row>
    <row r="306" spans="7:122" s="306" customFormat="1" ht="11.75" customHeight="1" x14ac:dyDescent="0.15"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  <c r="AA306" s="307"/>
      <c r="AB306" s="307"/>
      <c r="AC306" s="307"/>
      <c r="AD306" s="307"/>
      <c r="AE306" s="307"/>
      <c r="BA306" s="307"/>
      <c r="BB306" s="307"/>
      <c r="BC306" s="307"/>
      <c r="BD306" s="307"/>
      <c r="BE306" s="307"/>
      <c r="BF306" s="307"/>
      <c r="BG306" s="307"/>
      <c r="BH306" s="307"/>
      <c r="BI306" s="307"/>
      <c r="BJ306" s="307"/>
      <c r="BK306" s="307"/>
      <c r="BL306" s="307"/>
      <c r="BM306" s="307"/>
      <c r="BN306" s="307"/>
      <c r="BO306" s="307"/>
      <c r="BP306" s="307"/>
      <c r="BQ306" s="307"/>
      <c r="BR306" s="307"/>
      <c r="BS306" s="307"/>
      <c r="BT306" s="307"/>
      <c r="BU306" s="307"/>
      <c r="BV306" s="307"/>
      <c r="BW306" s="307"/>
      <c r="BX306" s="307"/>
      <c r="BY306" s="307"/>
      <c r="BZ306" s="307"/>
      <c r="CA306" s="312"/>
      <c r="CB306" s="307"/>
      <c r="CC306" s="313"/>
      <c r="CD306" s="313"/>
      <c r="CE306" s="313"/>
      <c r="CF306" s="313"/>
      <c r="CG306" s="313"/>
      <c r="CH306" s="313"/>
      <c r="CI306" s="313"/>
      <c r="CJ306" s="313"/>
      <c r="CK306" s="313"/>
      <c r="CL306" s="313"/>
      <c r="CM306" s="313"/>
      <c r="CN306" s="313"/>
      <c r="CO306" s="313"/>
      <c r="CP306" s="313"/>
      <c r="CQ306" s="307"/>
      <c r="CR306" s="307"/>
      <c r="CS306" s="307"/>
      <c r="CT306" s="313"/>
      <c r="CU306" s="307"/>
      <c r="CV306" s="307"/>
      <c r="CW306" s="307"/>
      <c r="CX306" s="313"/>
      <c r="CY306" s="307"/>
      <c r="CZ306" s="307"/>
      <c r="DA306" s="307"/>
      <c r="DB306" s="313"/>
      <c r="DC306" s="307"/>
      <c r="DD306" s="307"/>
      <c r="DE306" s="307"/>
      <c r="DF306" s="307"/>
      <c r="DG306" s="307"/>
      <c r="DH306" s="307"/>
      <c r="DI306" s="307"/>
      <c r="DJ306" s="307"/>
      <c r="DK306" s="307"/>
      <c r="DL306" s="307"/>
      <c r="DM306" s="307"/>
      <c r="DN306" s="307"/>
      <c r="DO306" s="307"/>
      <c r="DP306" s="307"/>
      <c r="DQ306" s="307"/>
      <c r="DR306" s="307"/>
    </row>
    <row r="307" spans="7:122" s="306" customFormat="1" ht="11.75" customHeight="1" x14ac:dyDescent="0.15"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  <c r="AA307" s="307"/>
      <c r="AB307" s="307"/>
      <c r="AC307" s="307"/>
      <c r="AD307" s="307"/>
      <c r="AE307" s="307"/>
      <c r="BA307" s="307"/>
      <c r="BB307" s="307"/>
      <c r="BC307" s="307"/>
      <c r="BD307" s="307"/>
      <c r="BE307" s="307"/>
      <c r="BF307" s="307"/>
      <c r="BG307" s="307"/>
      <c r="BH307" s="307"/>
      <c r="BI307" s="307"/>
      <c r="BJ307" s="307"/>
      <c r="BK307" s="307"/>
      <c r="BL307" s="307"/>
      <c r="BM307" s="307"/>
      <c r="BN307" s="307"/>
      <c r="BO307" s="307"/>
      <c r="BP307" s="307"/>
      <c r="BQ307" s="307"/>
      <c r="BR307" s="307"/>
      <c r="BS307" s="307"/>
      <c r="BT307" s="307"/>
      <c r="BU307" s="307"/>
      <c r="BV307" s="307"/>
      <c r="BW307" s="307"/>
      <c r="BX307" s="307"/>
      <c r="BY307" s="307"/>
      <c r="BZ307" s="307"/>
      <c r="CA307" s="312"/>
      <c r="CB307" s="307"/>
      <c r="CC307" s="313"/>
      <c r="CD307" s="313"/>
      <c r="CE307" s="313"/>
      <c r="CF307" s="313"/>
      <c r="CG307" s="313"/>
      <c r="CH307" s="313"/>
      <c r="CI307" s="313"/>
      <c r="CJ307" s="313"/>
      <c r="CK307" s="313"/>
      <c r="CL307" s="313"/>
      <c r="CM307" s="313"/>
      <c r="CN307" s="313"/>
      <c r="CO307" s="313"/>
      <c r="CP307" s="313"/>
      <c r="CQ307" s="307"/>
      <c r="CR307" s="307"/>
      <c r="CS307" s="307"/>
      <c r="CT307" s="313"/>
      <c r="CU307" s="307"/>
      <c r="CV307" s="307"/>
      <c r="CW307" s="307"/>
      <c r="CX307" s="313"/>
      <c r="CY307" s="307"/>
      <c r="CZ307" s="307"/>
      <c r="DA307" s="307"/>
      <c r="DB307" s="313"/>
      <c r="DC307" s="307"/>
      <c r="DD307" s="307"/>
      <c r="DE307" s="307"/>
      <c r="DF307" s="307"/>
      <c r="DG307" s="307"/>
      <c r="DH307" s="307"/>
      <c r="DI307" s="307"/>
      <c r="DJ307" s="307"/>
      <c r="DK307" s="307"/>
      <c r="DL307" s="307"/>
      <c r="DM307" s="307"/>
      <c r="DN307" s="307"/>
      <c r="DO307" s="307"/>
      <c r="DP307" s="307"/>
      <c r="DQ307" s="307"/>
      <c r="DR307" s="307"/>
    </row>
    <row r="308" spans="7:122" s="306" customFormat="1" ht="11.75" customHeight="1" x14ac:dyDescent="0.15"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  <c r="AA308" s="307"/>
      <c r="AB308" s="307"/>
      <c r="AC308" s="307"/>
      <c r="AD308" s="307"/>
      <c r="AE308" s="307"/>
      <c r="BA308" s="307"/>
      <c r="BB308" s="307"/>
      <c r="BC308" s="307"/>
      <c r="BD308" s="307"/>
      <c r="BE308" s="307"/>
      <c r="BF308" s="307"/>
      <c r="BG308" s="307"/>
      <c r="BH308" s="307"/>
      <c r="BI308" s="307"/>
      <c r="BJ308" s="307"/>
      <c r="BK308" s="307"/>
      <c r="BL308" s="307"/>
      <c r="BM308" s="307"/>
      <c r="BN308" s="307"/>
      <c r="BO308" s="307"/>
      <c r="BP308" s="307"/>
      <c r="BQ308" s="307"/>
      <c r="BR308" s="307"/>
      <c r="BS308" s="307"/>
      <c r="BT308" s="307"/>
      <c r="BU308" s="307"/>
      <c r="BV308" s="307"/>
      <c r="BW308" s="307"/>
      <c r="BX308" s="307"/>
      <c r="BY308" s="307"/>
      <c r="BZ308" s="307"/>
      <c r="CA308" s="312"/>
      <c r="CB308" s="307"/>
      <c r="CC308" s="313"/>
      <c r="CD308" s="313"/>
      <c r="CE308" s="313"/>
      <c r="CF308" s="313"/>
      <c r="CG308" s="313"/>
      <c r="CH308" s="313"/>
      <c r="CI308" s="313"/>
      <c r="CJ308" s="313"/>
      <c r="CK308" s="313"/>
      <c r="CL308" s="313"/>
      <c r="CM308" s="313"/>
      <c r="CN308" s="313"/>
      <c r="CO308" s="313"/>
      <c r="CP308" s="313"/>
      <c r="CQ308" s="307"/>
      <c r="CR308" s="307"/>
      <c r="CS308" s="307"/>
      <c r="CT308" s="313"/>
      <c r="CU308" s="307"/>
      <c r="CV308" s="307"/>
      <c r="CW308" s="307"/>
      <c r="CX308" s="313"/>
      <c r="CY308" s="307"/>
      <c r="CZ308" s="307"/>
      <c r="DA308" s="307"/>
      <c r="DB308" s="313"/>
      <c r="DC308" s="307"/>
      <c r="DD308" s="307"/>
      <c r="DE308" s="307"/>
      <c r="DF308" s="307"/>
      <c r="DG308" s="307"/>
      <c r="DH308" s="307"/>
      <c r="DI308" s="307"/>
      <c r="DJ308" s="307"/>
      <c r="DK308" s="307"/>
      <c r="DL308" s="307"/>
      <c r="DM308" s="307"/>
      <c r="DN308" s="307"/>
      <c r="DO308" s="307"/>
      <c r="DP308" s="307"/>
      <c r="DQ308" s="307"/>
      <c r="DR308" s="307"/>
    </row>
    <row r="309" spans="7:122" s="306" customFormat="1" ht="11.75" customHeight="1" x14ac:dyDescent="0.15"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  <c r="Z309" s="307"/>
      <c r="AA309" s="307"/>
      <c r="AB309" s="307"/>
      <c r="AC309" s="307"/>
      <c r="AD309" s="307"/>
      <c r="AE309" s="307"/>
      <c r="BA309" s="307"/>
      <c r="BB309" s="307"/>
      <c r="BC309" s="307"/>
      <c r="BD309" s="307"/>
      <c r="BE309" s="307"/>
      <c r="BF309" s="307"/>
      <c r="BG309" s="307"/>
      <c r="BH309" s="307"/>
      <c r="BI309" s="307"/>
      <c r="BJ309" s="307"/>
      <c r="BK309" s="307"/>
      <c r="BL309" s="307"/>
      <c r="BM309" s="307"/>
      <c r="BN309" s="307"/>
      <c r="BO309" s="307"/>
      <c r="BP309" s="307"/>
      <c r="BQ309" s="307"/>
      <c r="BR309" s="307"/>
      <c r="BS309" s="307"/>
      <c r="BT309" s="307"/>
      <c r="BU309" s="307"/>
      <c r="BV309" s="307"/>
      <c r="BW309" s="307"/>
      <c r="BX309" s="307"/>
      <c r="BY309" s="307"/>
      <c r="BZ309" s="307"/>
      <c r="CA309" s="312"/>
      <c r="CB309" s="307"/>
      <c r="CC309" s="313"/>
      <c r="CD309" s="313"/>
      <c r="CE309" s="313"/>
      <c r="CF309" s="313"/>
      <c r="CG309" s="313"/>
      <c r="CH309" s="313"/>
      <c r="CI309" s="313"/>
      <c r="CJ309" s="313"/>
      <c r="CK309" s="313"/>
      <c r="CL309" s="313"/>
      <c r="CM309" s="313"/>
      <c r="CN309" s="313"/>
      <c r="CO309" s="313"/>
      <c r="CP309" s="313"/>
      <c r="CQ309" s="307"/>
      <c r="CR309" s="307"/>
      <c r="CS309" s="307"/>
      <c r="CT309" s="313"/>
      <c r="CU309" s="307"/>
      <c r="CV309" s="307"/>
      <c r="CW309" s="307"/>
      <c r="CX309" s="313"/>
      <c r="CY309" s="307"/>
      <c r="CZ309" s="307"/>
      <c r="DA309" s="307"/>
      <c r="DB309" s="313"/>
      <c r="DC309" s="307"/>
      <c r="DD309" s="307"/>
      <c r="DE309" s="307"/>
      <c r="DF309" s="307"/>
      <c r="DG309" s="307"/>
      <c r="DH309" s="307"/>
      <c r="DI309" s="307"/>
      <c r="DJ309" s="307"/>
      <c r="DK309" s="307"/>
      <c r="DL309" s="307"/>
      <c r="DM309" s="307"/>
      <c r="DN309" s="307"/>
      <c r="DO309" s="307"/>
      <c r="DP309" s="307"/>
      <c r="DQ309" s="307"/>
      <c r="DR309" s="307"/>
    </row>
    <row r="310" spans="7:122" s="306" customFormat="1" ht="11.75" customHeight="1" x14ac:dyDescent="0.15"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  <c r="Z310" s="307"/>
      <c r="AA310" s="307"/>
      <c r="AB310" s="307"/>
      <c r="AC310" s="307"/>
      <c r="AD310" s="307"/>
      <c r="AE310" s="307"/>
      <c r="BA310" s="307"/>
      <c r="BB310" s="307"/>
      <c r="BC310" s="307"/>
      <c r="BD310" s="307"/>
      <c r="BE310" s="307"/>
      <c r="BF310" s="307"/>
      <c r="BG310" s="307"/>
      <c r="BH310" s="307"/>
      <c r="BI310" s="307"/>
      <c r="BJ310" s="307"/>
      <c r="BK310" s="307"/>
      <c r="BL310" s="307"/>
      <c r="BM310" s="307"/>
      <c r="BN310" s="307"/>
      <c r="BO310" s="307"/>
      <c r="BP310" s="307"/>
      <c r="BQ310" s="307"/>
      <c r="BR310" s="307"/>
      <c r="BS310" s="307"/>
      <c r="BT310" s="307"/>
      <c r="BU310" s="307"/>
      <c r="BV310" s="307"/>
      <c r="BW310" s="307"/>
      <c r="BX310" s="307"/>
      <c r="BY310" s="307"/>
      <c r="BZ310" s="307"/>
      <c r="CA310" s="311"/>
      <c r="CB310" s="307"/>
      <c r="CC310" s="313"/>
      <c r="CD310" s="313"/>
      <c r="CE310" s="313"/>
      <c r="CF310" s="313"/>
      <c r="CG310" s="313"/>
      <c r="CH310" s="313"/>
      <c r="CI310" s="313"/>
      <c r="CJ310" s="313"/>
      <c r="CK310" s="313"/>
      <c r="CL310" s="313"/>
      <c r="CM310" s="313"/>
      <c r="CN310" s="313"/>
      <c r="CO310" s="313"/>
      <c r="CP310" s="313"/>
      <c r="CQ310" s="307"/>
      <c r="CR310" s="307"/>
      <c r="CS310" s="307"/>
      <c r="CT310" s="313"/>
      <c r="CU310" s="307"/>
      <c r="CV310" s="307"/>
      <c r="CW310" s="307"/>
      <c r="CX310" s="313"/>
      <c r="CY310" s="307"/>
      <c r="CZ310" s="307"/>
      <c r="DA310" s="307"/>
      <c r="DB310" s="313"/>
      <c r="DC310" s="307"/>
      <c r="DD310" s="307"/>
      <c r="DE310" s="307"/>
      <c r="DF310" s="307"/>
      <c r="DG310" s="307"/>
      <c r="DH310" s="307"/>
      <c r="DI310" s="307"/>
      <c r="DJ310" s="307"/>
      <c r="DK310" s="307"/>
      <c r="DL310" s="307"/>
      <c r="DM310" s="307"/>
      <c r="DN310" s="307"/>
      <c r="DO310" s="307"/>
      <c r="DP310" s="307"/>
      <c r="DQ310" s="307"/>
      <c r="DR310" s="307"/>
    </row>
    <row r="311" spans="7:122" s="306" customFormat="1" ht="11.75" customHeight="1" x14ac:dyDescent="0.15"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  <c r="Z311" s="307"/>
      <c r="AA311" s="307"/>
      <c r="AB311" s="307"/>
      <c r="AC311" s="307"/>
      <c r="AD311" s="307"/>
      <c r="AE311" s="307"/>
      <c r="BA311" s="307"/>
      <c r="BB311" s="307"/>
      <c r="BC311" s="307"/>
      <c r="BD311" s="307"/>
      <c r="BE311" s="307"/>
      <c r="BF311" s="307"/>
      <c r="BG311" s="307"/>
      <c r="BH311" s="307"/>
      <c r="BI311" s="307"/>
      <c r="BJ311" s="307"/>
      <c r="BK311" s="307"/>
      <c r="BL311" s="307"/>
      <c r="BM311" s="307"/>
      <c r="BN311" s="307"/>
      <c r="BO311" s="307"/>
      <c r="BP311" s="307"/>
      <c r="BQ311" s="307"/>
      <c r="BR311" s="307"/>
      <c r="BS311" s="307"/>
      <c r="BT311" s="307"/>
      <c r="BU311" s="307"/>
      <c r="BV311" s="307"/>
      <c r="BW311" s="307"/>
      <c r="BX311" s="307"/>
      <c r="BY311" s="307"/>
      <c r="BZ311" s="307"/>
      <c r="CA311" s="311"/>
      <c r="CB311" s="307"/>
      <c r="CC311" s="313"/>
      <c r="CD311" s="313"/>
      <c r="CE311" s="313"/>
      <c r="CF311" s="313"/>
      <c r="CG311" s="313"/>
      <c r="CH311" s="313"/>
      <c r="CI311" s="313"/>
      <c r="CJ311" s="313"/>
      <c r="CK311" s="313"/>
      <c r="CL311" s="313"/>
      <c r="CM311" s="313"/>
      <c r="CN311" s="313"/>
      <c r="CO311" s="313"/>
      <c r="CP311" s="313"/>
      <c r="CQ311" s="307"/>
      <c r="CR311" s="307"/>
      <c r="CS311" s="307"/>
      <c r="CT311" s="313"/>
      <c r="CU311" s="307"/>
      <c r="CV311" s="307"/>
      <c r="CW311" s="307"/>
      <c r="CX311" s="313"/>
      <c r="CY311" s="307"/>
      <c r="CZ311" s="307"/>
      <c r="DA311" s="307"/>
      <c r="DB311" s="313"/>
      <c r="DC311" s="307"/>
      <c r="DD311" s="307"/>
      <c r="DE311" s="307"/>
      <c r="DF311" s="307"/>
      <c r="DG311" s="307"/>
      <c r="DH311" s="307"/>
      <c r="DI311" s="307"/>
      <c r="DJ311" s="307"/>
      <c r="DK311" s="307"/>
      <c r="DL311" s="307"/>
      <c r="DM311" s="307"/>
      <c r="DN311" s="307"/>
      <c r="DO311" s="307"/>
      <c r="DP311" s="307"/>
      <c r="DQ311" s="307"/>
      <c r="DR311" s="307"/>
    </row>
    <row r="312" spans="7:122" s="306" customFormat="1" ht="11.75" customHeight="1" x14ac:dyDescent="0.15"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  <c r="Z312" s="307"/>
      <c r="AA312" s="307"/>
      <c r="AB312" s="307"/>
      <c r="AC312" s="307"/>
      <c r="AD312" s="307"/>
      <c r="AE312" s="307"/>
      <c r="BA312" s="307"/>
      <c r="BB312" s="307"/>
      <c r="BC312" s="307"/>
      <c r="BD312" s="307"/>
      <c r="BE312" s="307"/>
      <c r="BF312" s="307"/>
      <c r="BG312" s="307"/>
      <c r="BH312" s="307"/>
      <c r="BI312" s="307"/>
      <c r="BJ312" s="307"/>
      <c r="BK312" s="307"/>
      <c r="BL312" s="307"/>
      <c r="BM312" s="307"/>
      <c r="BN312" s="307"/>
      <c r="BO312" s="307"/>
      <c r="BP312" s="307"/>
      <c r="BQ312" s="307"/>
      <c r="BR312" s="307"/>
      <c r="BS312" s="307"/>
      <c r="BT312" s="307"/>
      <c r="BU312" s="307"/>
      <c r="BV312" s="307"/>
      <c r="BW312" s="307"/>
      <c r="BX312" s="307"/>
      <c r="BY312" s="307"/>
      <c r="BZ312" s="307"/>
      <c r="CA312" s="311"/>
      <c r="CB312" s="307"/>
      <c r="CC312" s="313"/>
      <c r="CD312" s="313"/>
      <c r="CE312" s="313"/>
      <c r="CF312" s="313"/>
      <c r="CG312" s="313"/>
      <c r="CH312" s="313"/>
      <c r="CI312" s="313"/>
      <c r="CJ312" s="313"/>
      <c r="CK312" s="313"/>
      <c r="CL312" s="313"/>
      <c r="CM312" s="313"/>
      <c r="CN312" s="313"/>
      <c r="CO312" s="313"/>
      <c r="CP312" s="313"/>
      <c r="CQ312" s="307"/>
      <c r="CR312" s="307"/>
      <c r="CS312" s="307"/>
      <c r="CT312" s="313"/>
      <c r="CU312" s="307"/>
      <c r="CV312" s="307"/>
      <c r="CW312" s="307"/>
      <c r="CX312" s="313"/>
      <c r="CY312" s="307"/>
      <c r="CZ312" s="307"/>
      <c r="DA312" s="307"/>
      <c r="DB312" s="313"/>
      <c r="DC312" s="307"/>
      <c r="DD312" s="307"/>
      <c r="DE312" s="307"/>
      <c r="DF312" s="307"/>
      <c r="DG312" s="307"/>
      <c r="DH312" s="307"/>
      <c r="DI312" s="307"/>
      <c r="DJ312" s="307"/>
      <c r="DK312" s="307"/>
      <c r="DL312" s="307"/>
      <c r="DM312" s="307"/>
      <c r="DN312" s="307"/>
      <c r="DO312" s="307"/>
      <c r="DP312" s="307"/>
      <c r="DQ312" s="307"/>
      <c r="DR312" s="307"/>
    </row>
    <row r="313" spans="7:122" s="306" customFormat="1" ht="11.75" customHeight="1" x14ac:dyDescent="0.15"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  <c r="Z313" s="307"/>
      <c r="AA313" s="307"/>
      <c r="AB313" s="307"/>
      <c r="AC313" s="307"/>
      <c r="AD313" s="307"/>
      <c r="AE313" s="307"/>
      <c r="BA313" s="307"/>
      <c r="BB313" s="307"/>
      <c r="BC313" s="307"/>
      <c r="BD313" s="307"/>
      <c r="BE313" s="307"/>
      <c r="BF313" s="307"/>
      <c r="BG313" s="307"/>
      <c r="BH313" s="307"/>
      <c r="BI313" s="307"/>
      <c r="BJ313" s="307"/>
      <c r="BK313" s="307"/>
      <c r="BL313" s="307"/>
      <c r="BM313" s="307"/>
      <c r="BN313" s="307"/>
      <c r="BO313" s="307"/>
      <c r="BP313" s="307"/>
      <c r="BQ313" s="307"/>
      <c r="BR313" s="307"/>
      <c r="BS313" s="307"/>
      <c r="BT313" s="307"/>
      <c r="BU313" s="307"/>
      <c r="BV313" s="307"/>
      <c r="BW313" s="307"/>
      <c r="BX313" s="307"/>
      <c r="BY313" s="307"/>
      <c r="BZ313" s="307"/>
      <c r="CA313" s="312"/>
      <c r="CB313" s="307"/>
      <c r="CC313" s="313"/>
      <c r="CD313" s="313"/>
      <c r="CE313" s="313"/>
      <c r="CF313" s="313"/>
      <c r="CG313" s="313"/>
      <c r="CH313" s="313"/>
      <c r="CI313" s="313"/>
      <c r="CJ313" s="313"/>
      <c r="CK313" s="313"/>
      <c r="CL313" s="313"/>
      <c r="CM313" s="313"/>
      <c r="CN313" s="313"/>
      <c r="CO313" s="313"/>
      <c r="CP313" s="313"/>
      <c r="CQ313" s="307"/>
      <c r="CR313" s="307"/>
      <c r="CS313" s="307"/>
      <c r="CT313" s="313"/>
      <c r="CU313" s="307"/>
      <c r="CV313" s="307"/>
      <c r="CW313" s="307"/>
      <c r="CX313" s="313"/>
      <c r="CY313" s="307"/>
      <c r="CZ313" s="307"/>
      <c r="DA313" s="307"/>
      <c r="DB313" s="313"/>
      <c r="DC313" s="307"/>
      <c r="DD313" s="307"/>
      <c r="DE313" s="307"/>
      <c r="DF313" s="307"/>
      <c r="DG313" s="307"/>
      <c r="DH313" s="307"/>
      <c r="DI313" s="307"/>
      <c r="DJ313" s="307"/>
      <c r="DK313" s="307"/>
      <c r="DL313" s="307"/>
      <c r="DM313" s="307"/>
      <c r="DN313" s="307"/>
      <c r="DO313" s="307"/>
      <c r="DP313" s="307"/>
      <c r="DQ313" s="307"/>
      <c r="DR313" s="307"/>
    </row>
    <row r="314" spans="7:122" s="306" customFormat="1" ht="11.75" customHeight="1" x14ac:dyDescent="0.15"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  <c r="Z314" s="307"/>
      <c r="AA314" s="307"/>
      <c r="AB314" s="307"/>
      <c r="AC314" s="307"/>
      <c r="AD314" s="307"/>
      <c r="AE314" s="307"/>
      <c r="BA314" s="307"/>
      <c r="BB314" s="307"/>
      <c r="BC314" s="307"/>
      <c r="BD314" s="307"/>
      <c r="BE314" s="307"/>
      <c r="BF314" s="307"/>
      <c r="BG314" s="307"/>
      <c r="BH314" s="307"/>
      <c r="BI314" s="307"/>
      <c r="BJ314" s="307"/>
      <c r="BK314" s="307"/>
      <c r="BL314" s="307"/>
      <c r="BM314" s="307"/>
      <c r="BN314" s="307"/>
      <c r="BO314" s="307"/>
      <c r="BP314" s="307"/>
      <c r="BQ314" s="307"/>
      <c r="BR314" s="307"/>
      <c r="BS314" s="307"/>
      <c r="BT314" s="307"/>
      <c r="BU314" s="307"/>
      <c r="BV314" s="307"/>
      <c r="BW314" s="307"/>
      <c r="BX314" s="307"/>
      <c r="BY314" s="307"/>
      <c r="BZ314" s="307"/>
      <c r="CA314" s="311"/>
      <c r="CB314" s="307"/>
      <c r="CC314" s="313"/>
      <c r="CD314" s="313"/>
      <c r="CE314" s="313"/>
      <c r="CF314" s="313"/>
      <c r="CG314" s="313"/>
      <c r="CH314" s="313"/>
      <c r="CI314" s="313"/>
      <c r="CJ314" s="313"/>
      <c r="CK314" s="313"/>
      <c r="CL314" s="313"/>
      <c r="CM314" s="313"/>
      <c r="CN314" s="313"/>
      <c r="CO314" s="313"/>
      <c r="CP314" s="313"/>
      <c r="CQ314" s="307"/>
      <c r="CR314" s="307"/>
      <c r="CS314" s="307"/>
      <c r="CT314" s="313"/>
      <c r="CU314" s="307"/>
      <c r="CV314" s="307"/>
      <c r="CW314" s="307"/>
      <c r="CX314" s="313"/>
      <c r="CY314" s="307"/>
      <c r="CZ314" s="307"/>
      <c r="DA314" s="307"/>
      <c r="DB314" s="313"/>
      <c r="DC314" s="307"/>
      <c r="DD314" s="307"/>
      <c r="DE314" s="307"/>
      <c r="DF314" s="307"/>
      <c r="DG314" s="307"/>
      <c r="DH314" s="307"/>
      <c r="DI314" s="307"/>
      <c r="DJ314" s="307"/>
      <c r="DK314" s="307"/>
      <c r="DL314" s="307"/>
      <c r="DM314" s="307"/>
      <c r="DN314" s="307"/>
      <c r="DO314" s="307"/>
      <c r="DP314" s="307"/>
      <c r="DQ314" s="307"/>
      <c r="DR314" s="307"/>
    </row>
    <row r="315" spans="7:122" s="306" customFormat="1" ht="11.75" customHeight="1" x14ac:dyDescent="0.15"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  <c r="Z315" s="307"/>
      <c r="AA315" s="307"/>
      <c r="AB315" s="307"/>
      <c r="AC315" s="307"/>
      <c r="AD315" s="307"/>
      <c r="AE315" s="307"/>
      <c r="BA315" s="307"/>
      <c r="BB315" s="307"/>
      <c r="BC315" s="307"/>
      <c r="BD315" s="307"/>
      <c r="BE315" s="307"/>
      <c r="BF315" s="307"/>
      <c r="BG315" s="307"/>
      <c r="BH315" s="307"/>
      <c r="BI315" s="307"/>
      <c r="BJ315" s="307"/>
      <c r="BK315" s="307"/>
      <c r="BL315" s="307"/>
      <c r="BM315" s="307"/>
      <c r="BN315" s="307"/>
      <c r="BO315" s="307"/>
      <c r="BP315" s="307"/>
      <c r="BQ315" s="307"/>
      <c r="BR315" s="307"/>
      <c r="BS315" s="307"/>
      <c r="BT315" s="307"/>
      <c r="BU315" s="307"/>
      <c r="BV315" s="307"/>
      <c r="BW315" s="307"/>
      <c r="BX315" s="307"/>
      <c r="BY315" s="307"/>
      <c r="BZ315" s="307"/>
      <c r="CA315" s="311"/>
      <c r="CB315" s="307"/>
      <c r="CC315" s="313"/>
      <c r="CD315" s="313"/>
      <c r="CE315" s="313"/>
      <c r="CF315" s="313"/>
      <c r="CG315" s="313"/>
      <c r="CH315" s="313"/>
      <c r="CI315" s="313"/>
      <c r="CJ315" s="313"/>
      <c r="CK315" s="313"/>
      <c r="CL315" s="313"/>
      <c r="CM315" s="313"/>
      <c r="CN315" s="313"/>
      <c r="CO315" s="313"/>
      <c r="CP315" s="313"/>
      <c r="CQ315" s="307"/>
      <c r="CR315" s="307"/>
      <c r="CS315" s="307"/>
      <c r="CT315" s="313"/>
      <c r="CU315" s="307"/>
      <c r="CV315" s="307"/>
      <c r="CW315" s="307"/>
      <c r="CX315" s="313"/>
      <c r="CY315" s="307"/>
      <c r="CZ315" s="307"/>
      <c r="DA315" s="307"/>
      <c r="DB315" s="313"/>
      <c r="DC315" s="307"/>
      <c r="DD315" s="307"/>
      <c r="DE315" s="307"/>
      <c r="DF315" s="307"/>
      <c r="DG315" s="307"/>
      <c r="DH315" s="307"/>
      <c r="DI315" s="307"/>
      <c r="DJ315" s="307"/>
      <c r="DK315" s="307"/>
      <c r="DL315" s="307"/>
      <c r="DM315" s="307"/>
      <c r="DN315" s="307"/>
      <c r="DO315" s="307"/>
      <c r="DP315" s="307"/>
      <c r="DQ315" s="307"/>
      <c r="DR315" s="307"/>
    </row>
    <row r="316" spans="7:122" s="306" customFormat="1" ht="11.75" customHeight="1" x14ac:dyDescent="0.15"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  <c r="Z316" s="307"/>
      <c r="AA316" s="307"/>
      <c r="AB316" s="307"/>
      <c r="AC316" s="307"/>
      <c r="AD316" s="307"/>
      <c r="AE316" s="307"/>
      <c r="BA316" s="307"/>
      <c r="BB316" s="307"/>
      <c r="BC316" s="307"/>
      <c r="BD316" s="307"/>
      <c r="BE316" s="307"/>
      <c r="BF316" s="307"/>
      <c r="BG316" s="307"/>
      <c r="BH316" s="307"/>
      <c r="BI316" s="307"/>
      <c r="BJ316" s="307"/>
      <c r="BK316" s="307"/>
      <c r="BL316" s="307"/>
      <c r="BM316" s="307"/>
      <c r="BN316" s="307"/>
      <c r="BO316" s="307"/>
      <c r="BP316" s="307"/>
      <c r="BQ316" s="307"/>
      <c r="BR316" s="307"/>
      <c r="BS316" s="307"/>
      <c r="BT316" s="307"/>
      <c r="BU316" s="307"/>
      <c r="BV316" s="307"/>
      <c r="BW316" s="307"/>
      <c r="BX316" s="307"/>
      <c r="BY316" s="307"/>
      <c r="BZ316" s="307"/>
      <c r="CA316" s="311"/>
      <c r="CB316" s="307"/>
      <c r="CC316" s="313"/>
      <c r="CD316" s="313"/>
      <c r="CE316" s="313"/>
      <c r="CF316" s="313"/>
      <c r="CG316" s="313"/>
      <c r="CH316" s="313"/>
      <c r="CI316" s="313"/>
      <c r="CJ316" s="313"/>
      <c r="CK316" s="313"/>
      <c r="CL316" s="313"/>
      <c r="CM316" s="313"/>
      <c r="CN316" s="313"/>
      <c r="CO316" s="313"/>
      <c r="CP316" s="313"/>
      <c r="CQ316" s="307"/>
      <c r="CR316" s="307"/>
      <c r="CS316" s="307"/>
      <c r="CT316" s="313"/>
      <c r="CU316" s="307"/>
      <c r="CV316" s="307"/>
      <c r="CW316" s="307"/>
      <c r="CX316" s="313"/>
      <c r="CY316" s="307"/>
      <c r="CZ316" s="307"/>
      <c r="DA316" s="307"/>
      <c r="DB316" s="313"/>
      <c r="DC316" s="307"/>
      <c r="DD316" s="307"/>
      <c r="DE316" s="307"/>
      <c r="DF316" s="307"/>
      <c r="DG316" s="307"/>
      <c r="DH316" s="307"/>
      <c r="DI316" s="307"/>
      <c r="DJ316" s="307"/>
      <c r="DK316" s="307"/>
      <c r="DL316" s="307"/>
      <c r="DM316" s="307"/>
      <c r="DN316" s="307"/>
      <c r="DO316" s="307"/>
      <c r="DP316" s="307"/>
      <c r="DQ316" s="307"/>
      <c r="DR316" s="307"/>
    </row>
    <row r="317" spans="7:122" s="306" customFormat="1" ht="11.75" customHeight="1" x14ac:dyDescent="0.15"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  <c r="Z317" s="307"/>
      <c r="AA317" s="307"/>
      <c r="AB317" s="307"/>
      <c r="AC317" s="307"/>
      <c r="AD317" s="307"/>
      <c r="AE317" s="307"/>
      <c r="BA317" s="307"/>
      <c r="BB317" s="307"/>
      <c r="BC317" s="307"/>
      <c r="BD317" s="307"/>
      <c r="BE317" s="307"/>
      <c r="BF317" s="307"/>
      <c r="BG317" s="307"/>
      <c r="BH317" s="307"/>
      <c r="BI317" s="307"/>
      <c r="BJ317" s="307"/>
      <c r="BK317" s="307"/>
      <c r="BL317" s="307"/>
      <c r="BM317" s="307"/>
      <c r="BN317" s="307"/>
      <c r="BO317" s="307"/>
      <c r="BP317" s="307"/>
      <c r="BQ317" s="307"/>
      <c r="BR317" s="307"/>
      <c r="BS317" s="307"/>
      <c r="BT317" s="307"/>
      <c r="BU317" s="307"/>
      <c r="BV317" s="307"/>
      <c r="BW317" s="307"/>
      <c r="BX317" s="307"/>
      <c r="BY317" s="307"/>
      <c r="BZ317" s="307"/>
      <c r="CA317" s="311"/>
      <c r="CB317" s="307"/>
      <c r="CC317" s="313"/>
      <c r="CD317" s="313"/>
      <c r="CE317" s="313"/>
      <c r="CF317" s="313"/>
      <c r="CG317" s="313"/>
      <c r="CH317" s="313"/>
      <c r="CI317" s="313"/>
      <c r="CJ317" s="313"/>
      <c r="CK317" s="313"/>
      <c r="CL317" s="313"/>
      <c r="CM317" s="313"/>
      <c r="CN317" s="313"/>
      <c r="CO317" s="313"/>
      <c r="CP317" s="313"/>
      <c r="CQ317" s="307"/>
      <c r="CR317" s="307"/>
      <c r="CS317" s="307"/>
      <c r="CT317" s="313"/>
      <c r="CU317" s="307"/>
      <c r="CV317" s="307"/>
      <c r="CW317" s="307"/>
      <c r="CX317" s="313"/>
      <c r="CY317" s="307"/>
      <c r="CZ317" s="307"/>
      <c r="DA317" s="307"/>
      <c r="DB317" s="313"/>
      <c r="DC317" s="307"/>
      <c r="DD317" s="307"/>
      <c r="DE317" s="307"/>
      <c r="DF317" s="307"/>
      <c r="DG317" s="307"/>
      <c r="DH317" s="307"/>
      <c r="DI317" s="307"/>
      <c r="DJ317" s="307"/>
      <c r="DK317" s="307"/>
      <c r="DL317" s="307"/>
      <c r="DM317" s="307"/>
      <c r="DN317" s="307"/>
      <c r="DO317" s="307"/>
      <c r="DP317" s="307"/>
      <c r="DQ317" s="307"/>
      <c r="DR317" s="307"/>
    </row>
    <row r="318" spans="7:122" s="306" customFormat="1" ht="11.75" customHeight="1" x14ac:dyDescent="0.15"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  <c r="Z318" s="307"/>
      <c r="AA318" s="307"/>
      <c r="AB318" s="307"/>
      <c r="AC318" s="307"/>
      <c r="AD318" s="307"/>
      <c r="AE318" s="307"/>
      <c r="BA318" s="307"/>
      <c r="BB318" s="307"/>
      <c r="BC318" s="307"/>
      <c r="BD318" s="307"/>
      <c r="BE318" s="307"/>
      <c r="BF318" s="307"/>
      <c r="BG318" s="307"/>
      <c r="BH318" s="307"/>
      <c r="BI318" s="307"/>
      <c r="BJ318" s="307"/>
      <c r="BK318" s="307"/>
      <c r="BL318" s="307"/>
      <c r="BM318" s="307"/>
      <c r="BN318" s="307"/>
      <c r="BO318" s="307"/>
      <c r="BP318" s="307"/>
      <c r="BQ318" s="307"/>
      <c r="BR318" s="307"/>
      <c r="BS318" s="307"/>
      <c r="BT318" s="307"/>
      <c r="BU318" s="307"/>
      <c r="BV318" s="307"/>
      <c r="BW318" s="307"/>
      <c r="BX318" s="307"/>
      <c r="BY318" s="307"/>
      <c r="BZ318" s="307"/>
      <c r="CA318" s="311"/>
      <c r="CB318" s="307"/>
      <c r="CC318" s="313"/>
      <c r="CD318" s="313"/>
      <c r="CE318" s="313"/>
      <c r="CF318" s="313"/>
      <c r="CG318" s="313"/>
      <c r="CH318" s="313"/>
      <c r="CI318" s="313"/>
      <c r="CJ318" s="313"/>
      <c r="CK318" s="313"/>
      <c r="CL318" s="313"/>
      <c r="CM318" s="313"/>
      <c r="CN318" s="313"/>
      <c r="CO318" s="313"/>
      <c r="CP318" s="313"/>
      <c r="CQ318" s="307"/>
      <c r="CR318" s="307"/>
      <c r="CS318" s="307"/>
      <c r="CT318" s="313"/>
      <c r="CU318" s="307"/>
      <c r="CV318" s="307"/>
      <c r="CW318" s="307"/>
      <c r="CX318" s="313"/>
      <c r="CY318" s="307"/>
      <c r="CZ318" s="307"/>
      <c r="DA318" s="307"/>
      <c r="DB318" s="313"/>
      <c r="DC318" s="307"/>
      <c r="DD318" s="307"/>
      <c r="DE318" s="307"/>
      <c r="DF318" s="307"/>
      <c r="DG318" s="307"/>
      <c r="DH318" s="307"/>
      <c r="DI318" s="307"/>
      <c r="DJ318" s="307"/>
      <c r="DK318" s="307"/>
      <c r="DL318" s="307"/>
      <c r="DM318" s="307"/>
      <c r="DN318" s="307"/>
      <c r="DO318" s="307"/>
      <c r="DP318" s="307"/>
      <c r="DQ318" s="307"/>
      <c r="DR318" s="307"/>
    </row>
    <row r="319" spans="7:122" s="306" customFormat="1" ht="11.75" customHeight="1" x14ac:dyDescent="0.15"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  <c r="Z319" s="307"/>
      <c r="AA319" s="307"/>
      <c r="AB319" s="307"/>
      <c r="AC319" s="307"/>
      <c r="AD319" s="307"/>
      <c r="AE319" s="307"/>
      <c r="BA319" s="307"/>
      <c r="BB319" s="307"/>
      <c r="BC319" s="307"/>
      <c r="BD319" s="307"/>
      <c r="BE319" s="307"/>
      <c r="BF319" s="307"/>
      <c r="BG319" s="307"/>
      <c r="BH319" s="307"/>
      <c r="BI319" s="307"/>
      <c r="BJ319" s="307"/>
      <c r="BK319" s="307"/>
      <c r="BL319" s="307"/>
      <c r="BM319" s="307"/>
      <c r="BN319" s="307"/>
      <c r="BO319" s="307"/>
      <c r="BP319" s="307"/>
      <c r="BQ319" s="307"/>
      <c r="BR319" s="307"/>
      <c r="BS319" s="307"/>
      <c r="BT319" s="307"/>
      <c r="BU319" s="307"/>
      <c r="BV319" s="307"/>
      <c r="BW319" s="307"/>
      <c r="BX319" s="307"/>
      <c r="BY319" s="307"/>
      <c r="BZ319" s="307"/>
      <c r="CA319" s="311"/>
      <c r="CB319" s="307"/>
      <c r="CC319" s="313"/>
      <c r="CD319" s="313"/>
      <c r="CE319" s="313"/>
      <c r="CF319" s="313"/>
      <c r="CG319" s="313"/>
      <c r="CH319" s="313"/>
      <c r="CI319" s="313"/>
      <c r="CJ319" s="313"/>
      <c r="CK319" s="313"/>
      <c r="CL319" s="313"/>
      <c r="CM319" s="313"/>
      <c r="CN319" s="313"/>
      <c r="CO319" s="313"/>
      <c r="CP319" s="313"/>
      <c r="CQ319" s="307"/>
      <c r="CR319" s="307"/>
      <c r="CS319" s="307"/>
      <c r="CT319" s="313"/>
      <c r="CU319" s="307"/>
      <c r="CV319" s="307"/>
      <c r="CW319" s="307"/>
      <c r="CX319" s="313"/>
      <c r="CY319" s="307"/>
      <c r="CZ319" s="307"/>
      <c r="DA319" s="307"/>
      <c r="DB319" s="313"/>
      <c r="DC319" s="307"/>
      <c r="DD319" s="307"/>
      <c r="DE319" s="307"/>
      <c r="DF319" s="307"/>
      <c r="DG319" s="307"/>
      <c r="DH319" s="307"/>
      <c r="DI319" s="307"/>
      <c r="DJ319" s="307"/>
      <c r="DK319" s="307"/>
      <c r="DL319" s="307"/>
      <c r="DM319" s="307"/>
      <c r="DN319" s="307"/>
      <c r="DO319" s="307"/>
      <c r="DP319" s="307"/>
      <c r="DQ319" s="307"/>
      <c r="DR319" s="307"/>
    </row>
    <row r="320" spans="7:122" s="306" customFormat="1" ht="11.75" customHeight="1" x14ac:dyDescent="0.15"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  <c r="Z320" s="307"/>
      <c r="AA320" s="307"/>
      <c r="AB320" s="307"/>
      <c r="AC320" s="307"/>
      <c r="AD320" s="307"/>
      <c r="AE320" s="307"/>
      <c r="BA320" s="307"/>
      <c r="BB320" s="307"/>
      <c r="BC320" s="307"/>
      <c r="BD320" s="307"/>
      <c r="BE320" s="307"/>
      <c r="BF320" s="307"/>
      <c r="BG320" s="307"/>
      <c r="BH320" s="307"/>
      <c r="BI320" s="307"/>
      <c r="BJ320" s="307"/>
      <c r="BK320" s="307"/>
      <c r="BL320" s="307"/>
      <c r="BM320" s="307"/>
      <c r="BN320" s="307"/>
      <c r="BO320" s="307"/>
      <c r="BP320" s="307"/>
      <c r="BQ320" s="307"/>
      <c r="BR320" s="307"/>
      <c r="BS320" s="307"/>
      <c r="BT320" s="307"/>
      <c r="BU320" s="307"/>
      <c r="BV320" s="307"/>
      <c r="BW320" s="307"/>
      <c r="BX320" s="307"/>
      <c r="BY320" s="307"/>
      <c r="BZ320" s="307"/>
      <c r="CA320" s="311"/>
      <c r="CB320" s="307"/>
      <c r="CC320" s="313"/>
      <c r="CD320" s="313"/>
      <c r="CE320" s="313"/>
      <c r="CF320" s="313"/>
      <c r="CG320" s="313"/>
      <c r="CH320" s="313"/>
      <c r="CI320" s="313"/>
      <c r="CJ320" s="313"/>
      <c r="CK320" s="313"/>
      <c r="CL320" s="313"/>
      <c r="CM320" s="313"/>
      <c r="CN320" s="313"/>
      <c r="CO320" s="313"/>
      <c r="CP320" s="313"/>
      <c r="CQ320" s="307"/>
      <c r="CR320" s="307"/>
      <c r="CS320" s="307"/>
      <c r="CT320" s="313"/>
      <c r="CU320" s="307"/>
      <c r="CV320" s="307"/>
      <c r="CW320" s="307"/>
      <c r="CX320" s="313"/>
      <c r="CY320" s="307"/>
      <c r="CZ320" s="307"/>
      <c r="DA320" s="307"/>
      <c r="DB320" s="313"/>
      <c r="DC320" s="307"/>
      <c r="DD320" s="307"/>
      <c r="DE320" s="307"/>
      <c r="DF320" s="307"/>
      <c r="DG320" s="307"/>
      <c r="DH320" s="307"/>
      <c r="DI320" s="307"/>
      <c r="DJ320" s="307"/>
      <c r="DK320" s="307"/>
      <c r="DL320" s="307"/>
      <c r="DM320" s="307"/>
      <c r="DN320" s="307"/>
      <c r="DO320" s="307"/>
      <c r="DP320" s="307"/>
      <c r="DQ320" s="307"/>
      <c r="DR320" s="307"/>
    </row>
    <row r="321" spans="8:122" s="306" customFormat="1" ht="11.75" customHeight="1" x14ac:dyDescent="0.15"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  <c r="AA321" s="307"/>
      <c r="AB321" s="307"/>
      <c r="AC321" s="307"/>
      <c r="AD321" s="307"/>
      <c r="AE321" s="307"/>
      <c r="BA321" s="307"/>
      <c r="BB321" s="307"/>
      <c r="BC321" s="307"/>
      <c r="BD321" s="307"/>
      <c r="BE321" s="307"/>
      <c r="BF321" s="307"/>
      <c r="BG321" s="307"/>
      <c r="BH321" s="307"/>
      <c r="BI321" s="307"/>
      <c r="BJ321" s="307"/>
      <c r="BK321" s="307"/>
      <c r="BL321" s="307"/>
      <c r="BM321" s="307"/>
      <c r="BN321" s="307"/>
      <c r="BO321" s="307"/>
      <c r="BP321" s="307"/>
      <c r="BQ321" s="307"/>
      <c r="BR321" s="307"/>
      <c r="BS321" s="307"/>
      <c r="BT321" s="307"/>
      <c r="BU321" s="307"/>
      <c r="BV321" s="307"/>
      <c r="BW321" s="307"/>
      <c r="BX321" s="307"/>
      <c r="BY321" s="307"/>
      <c r="BZ321" s="307"/>
      <c r="CA321" s="311"/>
      <c r="CB321" s="307"/>
      <c r="CC321" s="313"/>
      <c r="CD321" s="313"/>
      <c r="CE321" s="313"/>
      <c r="CF321" s="313"/>
      <c r="CG321" s="313"/>
      <c r="CH321" s="313"/>
      <c r="CI321" s="313"/>
      <c r="CJ321" s="313"/>
      <c r="CK321" s="313"/>
      <c r="CL321" s="313"/>
      <c r="CM321" s="313"/>
      <c r="CN321" s="313"/>
      <c r="CO321" s="313"/>
      <c r="CP321" s="313"/>
      <c r="CQ321" s="307"/>
      <c r="CR321" s="307"/>
      <c r="CS321" s="307"/>
      <c r="CT321" s="313"/>
      <c r="CU321" s="307"/>
      <c r="CV321" s="307"/>
      <c r="CW321" s="307"/>
      <c r="CX321" s="313"/>
      <c r="CY321" s="307"/>
      <c r="CZ321" s="307"/>
      <c r="DA321" s="307"/>
      <c r="DB321" s="313"/>
      <c r="DC321" s="307"/>
      <c r="DD321" s="307"/>
      <c r="DE321" s="307"/>
      <c r="DF321" s="307"/>
      <c r="DG321" s="307"/>
      <c r="DH321" s="307"/>
      <c r="DI321" s="307"/>
      <c r="DJ321" s="307"/>
      <c r="DK321" s="307"/>
      <c r="DL321" s="307"/>
      <c r="DM321" s="307"/>
      <c r="DN321" s="307"/>
      <c r="DO321" s="307"/>
      <c r="DP321" s="307"/>
      <c r="DQ321" s="307"/>
      <c r="DR321" s="307"/>
    </row>
    <row r="322" spans="8:122" s="306" customFormat="1" ht="11.75" customHeight="1" x14ac:dyDescent="0.15"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  <c r="AA322" s="307"/>
      <c r="AB322" s="307"/>
      <c r="AC322" s="307"/>
      <c r="AD322" s="307"/>
      <c r="AE322" s="307"/>
      <c r="BA322" s="307"/>
      <c r="BB322" s="307"/>
      <c r="BC322" s="307"/>
      <c r="BD322" s="307"/>
      <c r="BE322" s="307"/>
      <c r="BF322" s="307"/>
      <c r="BG322" s="307"/>
      <c r="BH322" s="307"/>
      <c r="BI322" s="307"/>
      <c r="BJ322" s="307"/>
      <c r="BK322" s="307"/>
      <c r="BL322" s="307"/>
      <c r="BM322" s="307"/>
      <c r="BN322" s="307"/>
      <c r="BO322" s="307"/>
      <c r="BP322" s="307"/>
      <c r="BQ322" s="307"/>
      <c r="BR322" s="307"/>
      <c r="BS322" s="307"/>
      <c r="BT322" s="307"/>
      <c r="BU322" s="307"/>
      <c r="BV322" s="307"/>
      <c r="BW322" s="307"/>
      <c r="BX322" s="307"/>
      <c r="BY322" s="307"/>
      <c r="BZ322" s="307"/>
      <c r="CA322" s="311"/>
      <c r="CB322" s="307"/>
      <c r="CC322" s="313"/>
      <c r="CD322" s="313"/>
      <c r="CE322" s="313"/>
      <c r="CF322" s="313"/>
      <c r="CG322" s="313"/>
      <c r="CH322" s="313"/>
      <c r="CI322" s="313"/>
      <c r="CJ322" s="313"/>
      <c r="CK322" s="313"/>
      <c r="CL322" s="313"/>
      <c r="CM322" s="313"/>
      <c r="CN322" s="313"/>
      <c r="CO322" s="313"/>
      <c r="CP322" s="313"/>
      <c r="CQ322" s="307"/>
      <c r="CR322" s="307"/>
      <c r="CS322" s="307"/>
      <c r="CT322" s="313"/>
      <c r="CU322" s="307"/>
      <c r="CV322" s="307"/>
      <c r="CW322" s="307"/>
      <c r="CX322" s="313"/>
      <c r="CY322" s="307"/>
      <c r="CZ322" s="307"/>
      <c r="DA322" s="307"/>
      <c r="DB322" s="313"/>
      <c r="DC322" s="307"/>
      <c r="DD322" s="307"/>
      <c r="DE322" s="307"/>
      <c r="DF322" s="307"/>
      <c r="DG322" s="307"/>
      <c r="DH322" s="307"/>
      <c r="DI322" s="307"/>
      <c r="DJ322" s="307"/>
      <c r="DK322" s="307"/>
      <c r="DL322" s="307"/>
      <c r="DM322" s="307"/>
      <c r="DN322" s="307"/>
      <c r="DO322" s="307"/>
      <c r="DP322" s="307"/>
      <c r="DQ322" s="307"/>
      <c r="DR322" s="307"/>
    </row>
    <row r="323" spans="8:122" s="306" customFormat="1" ht="11.75" customHeight="1" x14ac:dyDescent="0.15"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  <c r="AA323" s="307"/>
      <c r="AB323" s="307"/>
      <c r="AC323" s="307"/>
      <c r="AD323" s="307"/>
      <c r="AE323" s="307"/>
      <c r="BA323" s="307"/>
      <c r="BB323" s="307"/>
      <c r="BC323" s="307"/>
      <c r="BD323" s="307"/>
      <c r="BE323" s="307"/>
      <c r="BF323" s="307"/>
      <c r="BG323" s="307"/>
      <c r="BH323" s="307"/>
      <c r="BI323" s="307"/>
      <c r="BJ323" s="307"/>
      <c r="BK323" s="307"/>
      <c r="BL323" s="307"/>
      <c r="BM323" s="307"/>
      <c r="BN323" s="307"/>
      <c r="BO323" s="307"/>
      <c r="BP323" s="307"/>
      <c r="BQ323" s="307"/>
      <c r="BR323" s="307"/>
      <c r="BS323" s="307"/>
      <c r="BT323" s="307"/>
      <c r="BU323" s="307"/>
      <c r="BV323" s="307"/>
      <c r="BW323" s="307"/>
      <c r="BX323" s="307"/>
      <c r="BY323" s="307"/>
      <c r="BZ323" s="307"/>
      <c r="CA323" s="311"/>
      <c r="CB323" s="307"/>
      <c r="CC323" s="313"/>
      <c r="CD323" s="313"/>
      <c r="CE323" s="313"/>
      <c r="CF323" s="313"/>
      <c r="CG323" s="313"/>
      <c r="CH323" s="313"/>
      <c r="CI323" s="313"/>
      <c r="CJ323" s="313"/>
      <c r="CK323" s="313"/>
      <c r="CL323" s="313"/>
      <c r="CM323" s="313"/>
      <c r="CN323" s="313"/>
      <c r="CO323" s="313"/>
      <c r="CP323" s="313"/>
      <c r="CQ323" s="307"/>
      <c r="CR323" s="307"/>
      <c r="CS323" s="307"/>
      <c r="CT323" s="313"/>
      <c r="CU323" s="307"/>
      <c r="CV323" s="307"/>
      <c r="CW323" s="307"/>
      <c r="CX323" s="313"/>
      <c r="CY323" s="307"/>
      <c r="CZ323" s="307"/>
      <c r="DA323" s="307"/>
      <c r="DB323" s="313"/>
      <c r="DC323" s="307"/>
      <c r="DD323" s="307"/>
      <c r="DE323" s="307"/>
      <c r="DF323" s="307"/>
      <c r="DG323" s="307"/>
      <c r="DH323" s="307"/>
      <c r="DI323" s="307"/>
      <c r="DJ323" s="307"/>
      <c r="DK323" s="307"/>
      <c r="DL323" s="307"/>
      <c r="DM323" s="307"/>
      <c r="DN323" s="307"/>
      <c r="DO323" s="307"/>
      <c r="DP323" s="307"/>
      <c r="DQ323" s="307"/>
      <c r="DR323" s="307"/>
    </row>
    <row r="324" spans="8:122" s="306" customFormat="1" ht="11.75" customHeight="1" x14ac:dyDescent="0.15"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  <c r="AA324" s="307"/>
      <c r="AB324" s="307"/>
      <c r="AC324" s="307"/>
      <c r="AD324" s="307"/>
      <c r="AE324" s="307"/>
      <c r="BA324" s="307"/>
      <c r="BB324" s="307"/>
      <c r="BC324" s="307"/>
      <c r="BD324" s="307"/>
      <c r="BE324" s="307"/>
      <c r="BF324" s="307"/>
      <c r="BG324" s="307"/>
      <c r="BH324" s="307"/>
      <c r="BI324" s="307"/>
      <c r="BJ324" s="307"/>
      <c r="BK324" s="307"/>
      <c r="BL324" s="307"/>
      <c r="BM324" s="307"/>
      <c r="BN324" s="307"/>
      <c r="BO324" s="307"/>
      <c r="BP324" s="307"/>
      <c r="BQ324" s="307"/>
      <c r="BR324" s="307"/>
      <c r="BS324" s="307"/>
      <c r="BT324" s="307"/>
      <c r="BU324" s="307"/>
      <c r="BV324" s="307"/>
      <c r="BW324" s="307"/>
      <c r="BX324" s="307"/>
      <c r="BY324" s="307"/>
      <c r="BZ324" s="307"/>
      <c r="CA324" s="311"/>
      <c r="CB324" s="307"/>
      <c r="CC324" s="313"/>
      <c r="CD324" s="313"/>
      <c r="CE324" s="313"/>
      <c r="CF324" s="313"/>
      <c r="CG324" s="313"/>
      <c r="CH324" s="313"/>
      <c r="CI324" s="313"/>
      <c r="CJ324" s="313"/>
      <c r="CK324" s="313"/>
      <c r="CL324" s="313"/>
      <c r="CM324" s="313"/>
      <c r="CN324" s="313"/>
      <c r="CO324" s="313"/>
      <c r="CP324" s="313"/>
      <c r="CQ324" s="307"/>
      <c r="CR324" s="307"/>
      <c r="CS324" s="307"/>
      <c r="CT324" s="313"/>
      <c r="CU324" s="307"/>
      <c r="CV324" s="307"/>
      <c r="CW324" s="307"/>
      <c r="CX324" s="313"/>
      <c r="CY324" s="307"/>
      <c r="CZ324" s="307"/>
      <c r="DA324" s="307"/>
      <c r="DB324" s="313"/>
      <c r="DC324" s="307"/>
      <c r="DD324" s="307"/>
      <c r="DE324" s="307"/>
      <c r="DF324" s="307"/>
      <c r="DG324" s="307"/>
      <c r="DH324" s="307"/>
      <c r="DI324" s="307"/>
      <c r="DJ324" s="307"/>
      <c r="DK324" s="307"/>
      <c r="DL324" s="307"/>
      <c r="DM324" s="307"/>
      <c r="DN324" s="307"/>
      <c r="DO324" s="307"/>
      <c r="DP324" s="307"/>
      <c r="DQ324" s="307"/>
      <c r="DR324" s="307"/>
    </row>
    <row r="325" spans="8:122" s="306" customFormat="1" ht="11.75" customHeight="1" x14ac:dyDescent="0.15"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  <c r="AA325" s="307"/>
      <c r="AB325" s="307"/>
      <c r="AC325" s="307"/>
      <c r="AD325" s="307"/>
      <c r="AE325" s="307"/>
      <c r="BA325" s="307"/>
      <c r="BB325" s="307"/>
      <c r="BC325" s="307"/>
      <c r="BD325" s="307"/>
      <c r="BE325" s="307"/>
      <c r="BF325" s="307"/>
      <c r="BG325" s="307"/>
      <c r="BH325" s="307"/>
      <c r="BI325" s="307"/>
      <c r="BJ325" s="307"/>
      <c r="BK325" s="307"/>
      <c r="BL325" s="307"/>
      <c r="BM325" s="307"/>
      <c r="BN325" s="307"/>
      <c r="BO325" s="307"/>
      <c r="BP325" s="307"/>
      <c r="BQ325" s="307"/>
      <c r="BR325" s="307"/>
      <c r="BS325" s="307"/>
      <c r="BT325" s="307"/>
      <c r="BU325" s="307"/>
      <c r="BV325" s="307"/>
      <c r="BW325" s="307"/>
      <c r="BX325" s="307"/>
      <c r="BY325" s="307"/>
      <c r="BZ325" s="307"/>
      <c r="CA325" s="311"/>
      <c r="CB325" s="307"/>
      <c r="CC325" s="313"/>
      <c r="CD325" s="313"/>
      <c r="CE325" s="313"/>
      <c r="CF325" s="313"/>
      <c r="CG325" s="313"/>
      <c r="CH325" s="313"/>
      <c r="CI325" s="313"/>
      <c r="CJ325" s="313"/>
      <c r="CK325" s="313"/>
      <c r="CL325" s="313"/>
      <c r="CM325" s="313"/>
      <c r="CN325" s="313"/>
      <c r="CO325" s="313"/>
      <c r="CP325" s="313"/>
      <c r="CQ325" s="307"/>
      <c r="CR325" s="307"/>
      <c r="CS325" s="307"/>
      <c r="CT325" s="313"/>
      <c r="CU325" s="307"/>
      <c r="CV325" s="307"/>
      <c r="CW325" s="307"/>
      <c r="CX325" s="313"/>
      <c r="CY325" s="307"/>
      <c r="CZ325" s="307"/>
      <c r="DA325" s="307"/>
      <c r="DB325" s="313"/>
      <c r="DC325" s="307"/>
      <c r="DD325" s="307"/>
      <c r="DE325" s="307"/>
      <c r="DF325" s="307"/>
      <c r="DG325" s="307"/>
      <c r="DH325" s="307"/>
      <c r="DI325" s="307"/>
      <c r="DJ325" s="307"/>
      <c r="DK325" s="307"/>
      <c r="DL325" s="307"/>
      <c r="DM325" s="307"/>
      <c r="DN325" s="307"/>
      <c r="DO325" s="307"/>
      <c r="DP325" s="307"/>
      <c r="DQ325" s="307"/>
      <c r="DR325" s="307"/>
    </row>
    <row r="326" spans="8:122" s="306" customFormat="1" ht="11.75" customHeight="1" x14ac:dyDescent="0.15"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  <c r="AA326" s="307"/>
      <c r="AB326" s="307"/>
      <c r="AC326" s="307"/>
      <c r="AD326" s="307"/>
      <c r="AE326" s="307"/>
      <c r="BA326" s="307"/>
      <c r="BB326" s="307"/>
      <c r="BC326" s="307"/>
      <c r="BD326" s="307"/>
      <c r="BE326" s="307"/>
      <c r="BF326" s="307"/>
      <c r="BG326" s="307"/>
      <c r="BH326" s="307"/>
      <c r="BI326" s="307"/>
      <c r="BJ326" s="307"/>
      <c r="BK326" s="307"/>
      <c r="BL326" s="307"/>
      <c r="BM326" s="307"/>
      <c r="BN326" s="307"/>
      <c r="BO326" s="307"/>
      <c r="BP326" s="307"/>
      <c r="BQ326" s="307"/>
      <c r="BR326" s="307"/>
      <c r="BS326" s="307"/>
      <c r="BT326" s="307"/>
      <c r="BU326" s="307"/>
      <c r="BV326" s="307"/>
      <c r="BW326" s="307"/>
      <c r="BX326" s="307"/>
      <c r="BY326" s="307"/>
      <c r="BZ326" s="307"/>
      <c r="CA326" s="311"/>
      <c r="CB326" s="307"/>
      <c r="CC326" s="313"/>
      <c r="CD326" s="313"/>
      <c r="CE326" s="313"/>
      <c r="CF326" s="313"/>
      <c r="CG326" s="313"/>
      <c r="CH326" s="313"/>
      <c r="CI326" s="313"/>
      <c r="CJ326" s="313"/>
      <c r="CK326" s="313"/>
      <c r="CL326" s="313"/>
      <c r="CM326" s="313"/>
      <c r="CN326" s="313"/>
      <c r="CO326" s="313"/>
      <c r="CP326" s="313"/>
      <c r="CQ326" s="307"/>
      <c r="CR326" s="307"/>
      <c r="CS326" s="307"/>
      <c r="CT326" s="313"/>
      <c r="CU326" s="307"/>
      <c r="CV326" s="307"/>
      <c r="CW326" s="307"/>
      <c r="CX326" s="313"/>
      <c r="CY326" s="307"/>
      <c r="CZ326" s="307"/>
      <c r="DA326" s="307"/>
      <c r="DB326" s="313"/>
      <c r="DC326" s="307"/>
      <c r="DD326" s="307"/>
      <c r="DE326" s="307"/>
      <c r="DF326" s="307"/>
      <c r="DG326" s="307"/>
      <c r="DH326" s="307"/>
      <c r="DI326" s="307"/>
      <c r="DJ326" s="307"/>
      <c r="DK326" s="307"/>
      <c r="DL326" s="307"/>
      <c r="DM326" s="307"/>
      <c r="DN326" s="307"/>
      <c r="DO326" s="307"/>
      <c r="DP326" s="307"/>
      <c r="DQ326" s="307"/>
      <c r="DR326" s="307"/>
    </row>
    <row r="327" spans="8:122" s="306" customFormat="1" ht="11.75" customHeight="1" x14ac:dyDescent="0.15"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  <c r="AA327" s="307"/>
      <c r="AB327" s="307"/>
      <c r="AC327" s="307"/>
      <c r="AD327" s="307"/>
      <c r="AE327" s="307"/>
      <c r="BA327" s="307"/>
      <c r="BB327" s="307"/>
      <c r="BC327" s="307"/>
      <c r="BD327" s="307"/>
      <c r="BE327" s="307"/>
      <c r="BF327" s="307"/>
      <c r="BG327" s="307"/>
      <c r="BH327" s="307"/>
      <c r="BI327" s="307"/>
      <c r="BJ327" s="307"/>
      <c r="BK327" s="307"/>
      <c r="BL327" s="307"/>
      <c r="BM327" s="307"/>
      <c r="BN327" s="307"/>
      <c r="BO327" s="307"/>
      <c r="BP327" s="307"/>
      <c r="BQ327" s="307"/>
      <c r="BR327" s="307"/>
      <c r="BS327" s="307"/>
      <c r="BT327" s="307"/>
      <c r="BU327" s="307"/>
      <c r="BV327" s="307"/>
      <c r="BW327" s="307"/>
      <c r="BX327" s="307"/>
      <c r="BY327" s="307"/>
      <c r="BZ327" s="307"/>
      <c r="CA327" s="311"/>
      <c r="CB327" s="307"/>
      <c r="CC327" s="313"/>
      <c r="CD327" s="313"/>
      <c r="CE327" s="313"/>
      <c r="CF327" s="313"/>
      <c r="CG327" s="313"/>
      <c r="CH327" s="313"/>
      <c r="CI327" s="313"/>
      <c r="CJ327" s="313"/>
      <c r="CK327" s="313"/>
      <c r="CL327" s="313"/>
      <c r="CM327" s="313"/>
      <c r="CN327" s="313"/>
      <c r="CO327" s="313"/>
      <c r="CP327" s="313"/>
      <c r="CQ327" s="307"/>
      <c r="CR327" s="307"/>
      <c r="CS327" s="307"/>
      <c r="CT327" s="313"/>
      <c r="CU327" s="307"/>
      <c r="CV327" s="307"/>
      <c r="CW327" s="307"/>
      <c r="CX327" s="313"/>
      <c r="CY327" s="307"/>
      <c r="CZ327" s="307"/>
      <c r="DA327" s="307"/>
      <c r="DB327" s="313"/>
      <c r="DC327" s="307"/>
      <c r="DD327" s="307"/>
      <c r="DE327" s="307"/>
      <c r="DF327" s="307"/>
      <c r="DG327" s="307"/>
      <c r="DH327" s="307"/>
      <c r="DI327" s="307"/>
      <c r="DJ327" s="307"/>
      <c r="DK327" s="307"/>
      <c r="DL327" s="307"/>
      <c r="DM327" s="307"/>
      <c r="DN327" s="307"/>
      <c r="DO327" s="307"/>
      <c r="DP327" s="307"/>
      <c r="DQ327" s="307"/>
      <c r="DR327" s="307"/>
    </row>
    <row r="328" spans="8:122" s="306" customFormat="1" ht="11.75" customHeight="1" x14ac:dyDescent="0.15"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  <c r="Z328" s="307"/>
      <c r="AA328" s="307"/>
      <c r="AB328" s="307"/>
      <c r="AC328" s="307"/>
      <c r="AD328" s="307"/>
      <c r="AE328" s="307"/>
      <c r="BA328" s="307"/>
      <c r="BB328" s="307"/>
      <c r="BC328" s="307"/>
      <c r="BD328" s="307"/>
      <c r="BE328" s="307"/>
      <c r="BF328" s="307"/>
      <c r="BG328" s="307"/>
      <c r="BH328" s="307"/>
      <c r="BI328" s="307"/>
      <c r="BJ328" s="307"/>
      <c r="BK328" s="307"/>
      <c r="BL328" s="307"/>
      <c r="BM328" s="307"/>
      <c r="BN328" s="307"/>
      <c r="BO328" s="307"/>
      <c r="BP328" s="307"/>
      <c r="BQ328" s="307"/>
      <c r="BR328" s="307"/>
      <c r="BS328" s="307"/>
      <c r="BT328" s="307"/>
      <c r="BU328" s="307"/>
      <c r="BV328" s="307"/>
      <c r="BW328" s="307"/>
      <c r="BX328" s="307"/>
      <c r="BY328" s="307"/>
      <c r="BZ328" s="307"/>
      <c r="CA328" s="311"/>
      <c r="CB328" s="307"/>
      <c r="CC328" s="313"/>
      <c r="CD328" s="313"/>
      <c r="CE328" s="313"/>
      <c r="CF328" s="313"/>
      <c r="CG328" s="313"/>
      <c r="CH328" s="313"/>
      <c r="CI328" s="313"/>
      <c r="CJ328" s="313"/>
      <c r="CK328" s="313"/>
      <c r="CL328" s="313"/>
      <c r="CM328" s="313"/>
      <c r="CN328" s="313"/>
      <c r="CO328" s="313"/>
      <c r="CP328" s="313"/>
      <c r="CQ328" s="307"/>
      <c r="CR328" s="307"/>
      <c r="CS328" s="307"/>
      <c r="CT328" s="313"/>
      <c r="CU328" s="307"/>
      <c r="CV328" s="307"/>
      <c r="CW328" s="307"/>
      <c r="CX328" s="313"/>
      <c r="CY328" s="307"/>
      <c r="CZ328" s="307"/>
      <c r="DA328" s="307"/>
      <c r="DB328" s="313"/>
      <c r="DC328" s="307"/>
      <c r="DD328" s="307"/>
      <c r="DE328" s="307"/>
      <c r="DF328" s="307"/>
      <c r="DG328" s="307"/>
      <c r="DH328" s="307"/>
      <c r="DI328" s="307"/>
      <c r="DJ328" s="307"/>
      <c r="DK328" s="307"/>
      <c r="DL328" s="307"/>
      <c r="DM328" s="307"/>
      <c r="DN328" s="307"/>
      <c r="DO328" s="307"/>
      <c r="DP328" s="307"/>
      <c r="DQ328" s="307"/>
      <c r="DR328" s="307"/>
    </row>
    <row r="329" spans="8:122" s="306" customFormat="1" ht="11.75" customHeight="1" x14ac:dyDescent="0.15"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  <c r="Z329" s="307"/>
      <c r="AA329" s="307"/>
      <c r="AB329" s="307"/>
      <c r="AC329" s="307"/>
      <c r="AD329" s="307"/>
      <c r="AE329" s="307"/>
      <c r="BA329" s="307"/>
      <c r="BB329" s="307"/>
      <c r="BC329" s="307"/>
      <c r="BD329" s="307"/>
      <c r="BE329" s="307"/>
      <c r="BF329" s="307"/>
      <c r="BG329" s="307"/>
      <c r="BH329" s="307"/>
      <c r="BI329" s="307"/>
      <c r="BJ329" s="307"/>
      <c r="BK329" s="307"/>
      <c r="BL329" s="307"/>
      <c r="BM329" s="307"/>
      <c r="BN329" s="307"/>
      <c r="BO329" s="307"/>
      <c r="BP329" s="307"/>
      <c r="BQ329" s="307"/>
      <c r="BR329" s="307"/>
      <c r="BS329" s="307"/>
      <c r="BT329" s="307"/>
      <c r="BU329" s="307"/>
      <c r="BV329" s="307"/>
      <c r="BW329" s="307"/>
      <c r="BX329" s="307"/>
      <c r="BY329" s="307"/>
      <c r="BZ329" s="307"/>
      <c r="CA329" s="311"/>
      <c r="CB329" s="307"/>
      <c r="CC329" s="313"/>
      <c r="CD329" s="313"/>
      <c r="CE329" s="313"/>
      <c r="CF329" s="313"/>
      <c r="CG329" s="313"/>
      <c r="CH329" s="313"/>
      <c r="CI329" s="313"/>
      <c r="CJ329" s="313"/>
      <c r="CK329" s="313"/>
      <c r="CL329" s="313"/>
      <c r="CM329" s="313"/>
      <c r="CN329" s="313"/>
      <c r="CO329" s="313"/>
      <c r="CP329" s="313"/>
      <c r="CQ329" s="307"/>
      <c r="CR329" s="307"/>
      <c r="CS329" s="307"/>
      <c r="CT329" s="313"/>
      <c r="CU329" s="307"/>
      <c r="CV329" s="307"/>
      <c r="CW329" s="307"/>
      <c r="CX329" s="313"/>
      <c r="CY329" s="307"/>
      <c r="CZ329" s="307"/>
      <c r="DA329" s="307"/>
      <c r="DB329" s="313"/>
      <c r="DC329" s="307"/>
      <c r="DD329" s="307"/>
      <c r="DE329" s="307"/>
      <c r="DF329" s="307"/>
      <c r="DG329" s="307"/>
      <c r="DH329" s="307"/>
      <c r="DI329" s="307"/>
      <c r="DJ329" s="307"/>
      <c r="DK329" s="307"/>
      <c r="DL329" s="307"/>
      <c r="DM329" s="307"/>
      <c r="DN329" s="307"/>
      <c r="DO329" s="307"/>
      <c r="DP329" s="307"/>
      <c r="DQ329" s="307"/>
      <c r="DR329" s="307"/>
    </row>
    <row r="330" spans="8:122" s="306" customFormat="1" ht="11.75" customHeight="1" x14ac:dyDescent="0.15"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  <c r="Z330" s="307"/>
      <c r="AA330" s="307"/>
      <c r="AB330" s="307"/>
      <c r="AC330" s="307"/>
      <c r="AD330" s="307"/>
      <c r="AE330" s="307"/>
      <c r="BA330" s="307"/>
      <c r="BB330" s="307"/>
      <c r="BC330" s="307"/>
      <c r="BD330" s="307"/>
      <c r="BE330" s="307"/>
      <c r="BF330" s="307"/>
      <c r="BG330" s="307"/>
      <c r="BH330" s="307"/>
      <c r="BI330" s="307"/>
      <c r="BJ330" s="307"/>
      <c r="BK330" s="307"/>
      <c r="BL330" s="307"/>
      <c r="BM330" s="307"/>
      <c r="BN330" s="307"/>
      <c r="BO330" s="307"/>
      <c r="BP330" s="307"/>
      <c r="BQ330" s="307"/>
      <c r="BR330" s="307"/>
      <c r="BS330" s="307"/>
      <c r="BT330" s="307"/>
      <c r="BU330" s="307"/>
      <c r="BV330" s="307"/>
      <c r="BW330" s="307"/>
      <c r="BX330" s="307"/>
      <c r="BY330" s="307"/>
      <c r="BZ330" s="307"/>
      <c r="CA330" s="311"/>
      <c r="CB330" s="307"/>
      <c r="CC330" s="313"/>
      <c r="CD330" s="313"/>
      <c r="CE330" s="313"/>
      <c r="CF330" s="313"/>
      <c r="CG330" s="313"/>
      <c r="CH330" s="313"/>
      <c r="CI330" s="313"/>
      <c r="CJ330" s="313"/>
      <c r="CK330" s="313"/>
      <c r="CL330" s="313"/>
      <c r="CM330" s="313"/>
      <c r="CN330" s="313"/>
      <c r="CO330" s="313"/>
      <c r="CP330" s="313"/>
      <c r="CQ330" s="307"/>
      <c r="CR330" s="307"/>
      <c r="CS330" s="307"/>
      <c r="CT330" s="313"/>
      <c r="CU330" s="307"/>
      <c r="CV330" s="307"/>
      <c r="CW330" s="307"/>
      <c r="CX330" s="313"/>
      <c r="CY330" s="307"/>
      <c r="CZ330" s="307"/>
      <c r="DA330" s="307"/>
      <c r="DB330" s="313"/>
      <c r="DC330" s="307"/>
      <c r="DD330" s="307"/>
      <c r="DE330" s="307"/>
      <c r="DF330" s="307"/>
      <c r="DG330" s="307"/>
      <c r="DH330" s="307"/>
      <c r="DI330" s="307"/>
      <c r="DJ330" s="307"/>
      <c r="DK330" s="307"/>
      <c r="DL330" s="307"/>
      <c r="DM330" s="307"/>
      <c r="DN330" s="307"/>
      <c r="DO330" s="307"/>
      <c r="DP330" s="307"/>
      <c r="DQ330" s="307"/>
      <c r="DR330" s="307"/>
    </row>
    <row r="331" spans="8:122" s="306" customFormat="1" ht="11.75" customHeight="1" x14ac:dyDescent="0.15"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  <c r="Z331" s="307"/>
      <c r="AA331" s="307"/>
      <c r="AB331" s="307"/>
      <c r="AC331" s="307"/>
      <c r="AD331" s="307"/>
      <c r="AE331" s="307"/>
      <c r="BA331" s="307"/>
      <c r="BB331" s="307"/>
      <c r="BC331" s="307"/>
      <c r="BD331" s="307"/>
      <c r="BE331" s="307"/>
      <c r="BF331" s="307"/>
      <c r="BG331" s="307"/>
      <c r="BH331" s="307"/>
      <c r="BI331" s="307"/>
      <c r="BJ331" s="307"/>
      <c r="BK331" s="307"/>
      <c r="BL331" s="307"/>
      <c r="BM331" s="307"/>
      <c r="BN331" s="307"/>
      <c r="BO331" s="307"/>
      <c r="BP331" s="307"/>
      <c r="BQ331" s="307"/>
      <c r="BR331" s="307"/>
      <c r="BS331" s="307"/>
      <c r="BT331" s="307"/>
      <c r="BU331" s="307"/>
      <c r="BV331" s="307"/>
      <c r="BW331" s="307"/>
      <c r="BX331" s="307"/>
      <c r="BY331" s="307"/>
      <c r="BZ331" s="307"/>
      <c r="CA331" s="311"/>
      <c r="CB331" s="307"/>
      <c r="CC331" s="313"/>
      <c r="CD331" s="313"/>
      <c r="CE331" s="313"/>
      <c r="CF331" s="313"/>
      <c r="CG331" s="313"/>
      <c r="CH331" s="313"/>
      <c r="CI331" s="313"/>
      <c r="CJ331" s="313"/>
      <c r="CK331" s="313"/>
      <c r="CL331" s="313"/>
      <c r="CM331" s="313"/>
      <c r="CN331" s="313"/>
      <c r="CO331" s="313"/>
      <c r="CP331" s="313"/>
      <c r="CQ331" s="307"/>
      <c r="CR331" s="307"/>
      <c r="CS331" s="307"/>
      <c r="CT331" s="313"/>
      <c r="CU331" s="307"/>
      <c r="CV331" s="307"/>
      <c r="CW331" s="307"/>
      <c r="CX331" s="313"/>
      <c r="CY331" s="307"/>
      <c r="CZ331" s="307"/>
      <c r="DA331" s="307"/>
      <c r="DB331" s="313"/>
      <c r="DC331" s="307"/>
      <c r="DD331" s="307"/>
      <c r="DE331" s="307"/>
      <c r="DF331" s="307"/>
      <c r="DG331" s="307"/>
      <c r="DH331" s="307"/>
      <c r="DI331" s="307"/>
      <c r="DJ331" s="307"/>
      <c r="DK331" s="307"/>
      <c r="DL331" s="307"/>
      <c r="DM331" s="307"/>
      <c r="DN331" s="307"/>
      <c r="DO331" s="307"/>
      <c r="DP331" s="307"/>
      <c r="DQ331" s="307"/>
      <c r="DR331" s="307"/>
    </row>
    <row r="332" spans="8:122" s="306" customFormat="1" ht="11.75" customHeight="1" x14ac:dyDescent="0.15"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  <c r="Z332" s="307"/>
      <c r="AA332" s="307"/>
      <c r="AB332" s="307"/>
      <c r="AC332" s="307"/>
      <c r="AD332" s="307"/>
      <c r="AE332" s="307"/>
      <c r="BA332" s="307"/>
      <c r="BB332" s="307"/>
      <c r="BC332" s="307"/>
      <c r="BD332" s="307"/>
      <c r="BE332" s="307"/>
      <c r="BF332" s="307"/>
      <c r="BG332" s="307"/>
      <c r="BH332" s="307"/>
      <c r="BI332" s="307"/>
      <c r="BJ332" s="307"/>
      <c r="BK332" s="307"/>
      <c r="BL332" s="307"/>
      <c r="BM332" s="307"/>
      <c r="BN332" s="307"/>
      <c r="BO332" s="307"/>
      <c r="BP332" s="307"/>
      <c r="BQ332" s="307"/>
      <c r="BR332" s="307"/>
      <c r="BS332" s="307"/>
      <c r="BT332" s="307"/>
      <c r="BU332" s="307"/>
      <c r="BV332" s="307"/>
      <c r="BW332" s="307"/>
      <c r="BX332" s="307"/>
      <c r="BY332" s="307"/>
      <c r="BZ332" s="307"/>
      <c r="CA332" s="311"/>
      <c r="CB332" s="307"/>
      <c r="CC332" s="313"/>
      <c r="CD332" s="313"/>
      <c r="CE332" s="313"/>
      <c r="CF332" s="313"/>
      <c r="CG332" s="313"/>
      <c r="CH332" s="313"/>
      <c r="CI332" s="313"/>
      <c r="CJ332" s="313"/>
      <c r="CK332" s="313"/>
      <c r="CL332" s="313"/>
      <c r="CM332" s="313"/>
      <c r="CN332" s="313"/>
      <c r="CO332" s="313"/>
      <c r="CP332" s="313"/>
      <c r="CQ332" s="307"/>
      <c r="CR332" s="307"/>
      <c r="CS332" s="307"/>
      <c r="CT332" s="313"/>
      <c r="CU332" s="307"/>
      <c r="CV332" s="307"/>
      <c r="CW332" s="307"/>
      <c r="CX332" s="313"/>
      <c r="CY332" s="307"/>
      <c r="CZ332" s="307"/>
      <c r="DA332" s="307"/>
      <c r="DB332" s="313"/>
      <c r="DC332" s="307"/>
      <c r="DD332" s="307"/>
      <c r="DE332" s="307"/>
      <c r="DF332" s="307"/>
      <c r="DG332" s="307"/>
      <c r="DH332" s="307"/>
      <c r="DI332" s="307"/>
      <c r="DJ332" s="307"/>
      <c r="DK332" s="307"/>
      <c r="DL332" s="307"/>
      <c r="DM332" s="307"/>
      <c r="DN332" s="307"/>
      <c r="DO332" s="307"/>
      <c r="DP332" s="307"/>
      <c r="DQ332" s="307"/>
      <c r="DR332" s="307"/>
    </row>
    <row r="333" spans="8:122" s="306" customFormat="1" ht="11.75" customHeight="1" x14ac:dyDescent="0.15"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  <c r="Z333" s="307"/>
      <c r="AA333" s="307"/>
      <c r="AB333" s="307"/>
      <c r="AC333" s="307"/>
      <c r="AD333" s="307"/>
      <c r="AE333" s="307"/>
      <c r="BA333" s="307"/>
      <c r="BB333" s="307"/>
      <c r="BC333" s="307"/>
      <c r="BD333" s="314"/>
      <c r="BE333" s="307"/>
      <c r="BF333" s="307"/>
      <c r="BG333" s="307"/>
      <c r="BH333" s="307"/>
      <c r="BI333" s="307"/>
      <c r="BJ333" s="307"/>
      <c r="BK333" s="307"/>
      <c r="BL333" s="307"/>
      <c r="BM333" s="307"/>
      <c r="BN333" s="307"/>
      <c r="BO333" s="307"/>
      <c r="BP333" s="307"/>
      <c r="BQ333" s="307"/>
      <c r="BR333" s="307"/>
      <c r="BS333" s="307"/>
      <c r="BT333" s="307"/>
      <c r="BU333" s="307"/>
      <c r="BV333" s="307"/>
      <c r="BW333" s="307"/>
      <c r="BX333" s="307"/>
      <c r="BY333" s="307"/>
      <c r="BZ333" s="307"/>
      <c r="CA333" s="311"/>
      <c r="CB333" s="307"/>
      <c r="CC333" s="313"/>
      <c r="CD333" s="313"/>
      <c r="CE333" s="313"/>
      <c r="CF333" s="313"/>
      <c r="CG333" s="313"/>
      <c r="CH333" s="313"/>
      <c r="CI333" s="313"/>
      <c r="CJ333" s="313"/>
      <c r="CK333" s="313"/>
      <c r="CL333" s="313"/>
      <c r="CM333" s="313"/>
      <c r="CN333" s="313"/>
      <c r="CO333" s="313"/>
      <c r="CP333" s="313"/>
      <c r="CQ333" s="307"/>
      <c r="CR333" s="307"/>
      <c r="CS333" s="307"/>
      <c r="CT333" s="313"/>
      <c r="CU333" s="307"/>
      <c r="CV333" s="307"/>
      <c r="CW333" s="307"/>
      <c r="CX333" s="313"/>
      <c r="CY333" s="307"/>
      <c r="CZ333" s="307"/>
      <c r="DA333" s="307"/>
      <c r="DB333" s="313"/>
      <c r="DC333" s="307"/>
      <c r="DD333" s="307"/>
      <c r="DE333" s="307"/>
      <c r="DF333" s="307"/>
      <c r="DG333" s="307"/>
      <c r="DH333" s="307"/>
      <c r="DI333" s="307"/>
      <c r="DJ333" s="307"/>
      <c r="DK333" s="307"/>
      <c r="DL333" s="307"/>
      <c r="DM333" s="307"/>
      <c r="DN333" s="307"/>
      <c r="DO333" s="307"/>
      <c r="DP333" s="307"/>
      <c r="DQ333" s="307"/>
      <c r="DR333" s="307"/>
    </row>
    <row r="334" spans="8:122" s="306" customFormat="1" ht="11.75" customHeight="1" x14ac:dyDescent="0.15"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  <c r="Z334" s="307"/>
      <c r="AA334" s="307"/>
      <c r="AB334" s="307"/>
      <c r="AC334" s="307"/>
      <c r="AD334" s="307"/>
      <c r="AE334" s="307"/>
      <c r="BA334" s="307"/>
      <c r="BB334" s="307"/>
      <c r="BC334" s="307"/>
      <c r="BD334" s="307"/>
      <c r="BE334" s="307"/>
      <c r="BF334" s="307"/>
      <c r="BG334" s="307"/>
      <c r="BH334" s="307"/>
      <c r="BI334" s="307"/>
      <c r="BJ334" s="307"/>
      <c r="BK334" s="307"/>
      <c r="BL334" s="307"/>
      <c r="BM334" s="307"/>
      <c r="BN334" s="307"/>
      <c r="BO334" s="307"/>
      <c r="BP334" s="307"/>
      <c r="BQ334" s="307"/>
      <c r="BR334" s="307"/>
      <c r="BS334" s="307"/>
      <c r="BT334" s="307"/>
      <c r="BU334" s="307"/>
      <c r="BV334" s="307"/>
      <c r="BW334" s="307"/>
      <c r="BX334" s="307"/>
      <c r="BY334" s="307"/>
      <c r="BZ334" s="307"/>
      <c r="CA334" s="311"/>
      <c r="CB334" s="307"/>
      <c r="CC334" s="313"/>
      <c r="CD334" s="313"/>
      <c r="CE334" s="313"/>
      <c r="CF334" s="313"/>
      <c r="CG334" s="313"/>
      <c r="CH334" s="313"/>
      <c r="CI334" s="313"/>
      <c r="CJ334" s="313"/>
      <c r="CK334" s="313"/>
      <c r="CL334" s="313"/>
      <c r="CM334" s="313"/>
      <c r="CN334" s="313"/>
      <c r="CO334" s="313"/>
      <c r="CP334" s="313"/>
      <c r="CQ334" s="307"/>
      <c r="CR334" s="307"/>
      <c r="CS334" s="307"/>
      <c r="CT334" s="313"/>
      <c r="CU334" s="307"/>
      <c r="CV334" s="307"/>
      <c r="CW334" s="307"/>
      <c r="CX334" s="313"/>
      <c r="CY334" s="307"/>
      <c r="CZ334" s="307"/>
      <c r="DA334" s="307"/>
      <c r="DB334" s="313"/>
      <c r="DC334" s="307"/>
      <c r="DD334" s="307"/>
      <c r="DE334" s="307"/>
      <c r="DF334" s="307"/>
      <c r="DG334" s="307"/>
      <c r="DH334" s="307"/>
      <c r="DI334" s="307"/>
      <c r="DJ334" s="307"/>
      <c r="DK334" s="307"/>
      <c r="DL334" s="307"/>
      <c r="DM334" s="307"/>
      <c r="DN334" s="307"/>
      <c r="DO334" s="307"/>
      <c r="DP334" s="307"/>
      <c r="DQ334" s="307"/>
      <c r="DR334" s="307"/>
    </row>
    <row r="335" spans="8:122" s="306" customFormat="1" ht="11.75" customHeight="1" x14ac:dyDescent="0.15"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  <c r="Z335" s="307"/>
      <c r="AA335" s="307"/>
      <c r="AB335" s="307"/>
      <c r="AC335" s="307"/>
      <c r="AD335" s="307"/>
      <c r="AE335" s="307"/>
      <c r="BA335" s="307"/>
      <c r="BB335" s="307"/>
      <c r="BC335" s="307"/>
      <c r="BD335" s="307"/>
      <c r="BE335" s="307"/>
      <c r="BF335" s="307"/>
      <c r="BG335" s="307"/>
      <c r="BH335" s="307"/>
      <c r="BI335" s="307"/>
      <c r="BJ335" s="307"/>
      <c r="BK335" s="307"/>
      <c r="BL335" s="307"/>
      <c r="BM335" s="307"/>
      <c r="BN335" s="307"/>
      <c r="BO335" s="307"/>
      <c r="BP335" s="307"/>
      <c r="BQ335" s="307"/>
      <c r="BR335" s="307"/>
      <c r="BS335" s="307"/>
      <c r="BT335" s="307"/>
      <c r="BU335" s="307"/>
      <c r="BV335" s="307"/>
      <c r="BW335" s="307"/>
      <c r="BX335" s="307"/>
      <c r="BY335" s="307"/>
      <c r="BZ335" s="307"/>
      <c r="CA335" s="311"/>
      <c r="CB335" s="307"/>
      <c r="CC335" s="313"/>
      <c r="CD335" s="313"/>
      <c r="CE335" s="313"/>
      <c r="CF335" s="313"/>
      <c r="CG335" s="313"/>
      <c r="CH335" s="313"/>
      <c r="CI335" s="313"/>
      <c r="CJ335" s="313"/>
      <c r="CK335" s="313"/>
      <c r="CL335" s="313"/>
      <c r="CM335" s="313"/>
      <c r="CN335" s="313"/>
      <c r="CO335" s="313"/>
      <c r="CP335" s="313"/>
      <c r="CQ335" s="307"/>
      <c r="CR335" s="307"/>
      <c r="CS335" s="307"/>
      <c r="CT335" s="313"/>
      <c r="CU335" s="307"/>
      <c r="CV335" s="307"/>
      <c r="CW335" s="307"/>
      <c r="CX335" s="313"/>
      <c r="CY335" s="307"/>
      <c r="CZ335" s="307"/>
      <c r="DA335" s="307"/>
      <c r="DB335" s="313"/>
      <c r="DC335" s="307"/>
      <c r="DD335" s="307"/>
      <c r="DE335" s="307"/>
      <c r="DF335" s="307"/>
      <c r="DG335" s="307"/>
      <c r="DH335" s="307"/>
      <c r="DI335" s="307"/>
      <c r="DJ335" s="307"/>
      <c r="DK335" s="307"/>
      <c r="DL335" s="307"/>
      <c r="DM335" s="307"/>
      <c r="DN335" s="307"/>
      <c r="DO335" s="307"/>
      <c r="DP335" s="307"/>
      <c r="DQ335" s="307"/>
      <c r="DR335" s="307"/>
    </row>
    <row r="336" spans="8:122" s="306" customFormat="1" ht="11.75" customHeight="1" x14ac:dyDescent="0.15"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  <c r="AA336" s="307"/>
      <c r="AB336" s="307"/>
      <c r="AC336" s="307"/>
      <c r="AD336" s="307"/>
      <c r="AE336" s="307"/>
      <c r="BA336" s="307"/>
      <c r="BB336" s="307"/>
      <c r="BC336" s="307"/>
      <c r="BD336" s="307"/>
      <c r="BE336" s="307"/>
      <c r="BF336" s="307"/>
      <c r="BG336" s="307"/>
      <c r="BH336" s="307"/>
      <c r="BI336" s="307"/>
      <c r="BJ336" s="307"/>
      <c r="BK336" s="307"/>
      <c r="BL336" s="307"/>
      <c r="BM336" s="307"/>
      <c r="BN336" s="307"/>
      <c r="BO336" s="307"/>
      <c r="BP336" s="307"/>
      <c r="BQ336" s="307"/>
      <c r="BR336" s="307"/>
      <c r="BS336" s="307"/>
      <c r="BT336" s="307"/>
      <c r="BU336" s="307"/>
      <c r="BV336" s="307"/>
      <c r="BW336" s="307"/>
      <c r="BX336" s="307"/>
      <c r="BY336" s="307"/>
      <c r="BZ336" s="307"/>
      <c r="CA336" s="311"/>
      <c r="CB336" s="307"/>
      <c r="CC336" s="313"/>
      <c r="CD336" s="313"/>
      <c r="CE336" s="313"/>
      <c r="CF336" s="313"/>
      <c r="CG336" s="313"/>
      <c r="CH336" s="313"/>
      <c r="CI336" s="313"/>
      <c r="CJ336" s="313"/>
      <c r="CK336" s="313"/>
      <c r="CL336" s="313"/>
      <c r="CM336" s="313"/>
      <c r="CN336" s="313"/>
      <c r="CO336" s="313"/>
      <c r="CP336" s="313"/>
      <c r="CQ336" s="307"/>
      <c r="CR336" s="307"/>
      <c r="CS336" s="307"/>
      <c r="CT336" s="313"/>
      <c r="CU336" s="307"/>
      <c r="CV336" s="307"/>
      <c r="CW336" s="307"/>
      <c r="CX336" s="313"/>
      <c r="CY336" s="307"/>
      <c r="CZ336" s="307"/>
      <c r="DA336" s="307"/>
      <c r="DB336" s="313"/>
      <c r="DC336" s="307"/>
      <c r="DD336" s="307"/>
      <c r="DE336" s="307"/>
      <c r="DF336" s="307"/>
      <c r="DG336" s="307"/>
      <c r="DH336" s="307"/>
      <c r="DI336" s="307"/>
      <c r="DJ336" s="307"/>
      <c r="DK336" s="307"/>
      <c r="DL336" s="307"/>
      <c r="DM336" s="307"/>
      <c r="DN336" s="307"/>
      <c r="DO336" s="307"/>
      <c r="DP336" s="307"/>
      <c r="DQ336" s="307"/>
      <c r="DR336" s="307"/>
    </row>
    <row r="337" spans="7:122" s="306" customFormat="1" ht="11.75" customHeight="1" x14ac:dyDescent="0.15"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  <c r="AA337" s="307"/>
      <c r="AB337" s="307"/>
      <c r="AC337" s="307"/>
      <c r="AD337" s="307"/>
      <c r="AE337" s="307"/>
      <c r="BA337" s="307"/>
      <c r="BB337" s="307"/>
      <c r="BC337" s="307"/>
      <c r="BD337" s="307"/>
      <c r="BE337" s="307"/>
      <c r="BF337" s="307"/>
      <c r="BG337" s="307"/>
      <c r="BH337" s="307"/>
      <c r="BI337" s="307"/>
      <c r="BJ337" s="307"/>
      <c r="BK337" s="307"/>
      <c r="BL337" s="307"/>
      <c r="BM337" s="307"/>
      <c r="BN337" s="307"/>
      <c r="BO337" s="307"/>
      <c r="BP337" s="307"/>
      <c r="BQ337" s="307"/>
      <c r="BR337" s="307"/>
      <c r="BS337" s="307"/>
      <c r="BT337" s="307"/>
      <c r="BU337" s="307"/>
      <c r="BV337" s="307"/>
      <c r="BW337" s="307"/>
      <c r="BX337" s="307"/>
      <c r="BY337" s="307"/>
      <c r="BZ337" s="307"/>
      <c r="CA337" s="311"/>
      <c r="CB337" s="307"/>
      <c r="CC337" s="313"/>
      <c r="CD337" s="313"/>
      <c r="CE337" s="313"/>
      <c r="CF337" s="313"/>
      <c r="CG337" s="313"/>
      <c r="CH337" s="313"/>
      <c r="CI337" s="313"/>
      <c r="CJ337" s="313"/>
      <c r="CK337" s="313"/>
      <c r="CL337" s="313"/>
      <c r="CM337" s="313"/>
      <c r="CN337" s="313"/>
      <c r="CO337" s="313"/>
      <c r="CP337" s="313"/>
      <c r="CQ337" s="307"/>
      <c r="CR337" s="307"/>
      <c r="CS337" s="307"/>
      <c r="CT337" s="313"/>
      <c r="CU337" s="307"/>
      <c r="CV337" s="307"/>
      <c r="CW337" s="307"/>
      <c r="CX337" s="313"/>
      <c r="CY337" s="307"/>
      <c r="CZ337" s="307"/>
      <c r="DA337" s="307"/>
      <c r="DB337" s="313"/>
      <c r="DC337" s="307"/>
      <c r="DD337" s="307"/>
      <c r="DE337" s="307"/>
      <c r="DF337" s="307"/>
      <c r="DG337" s="307"/>
      <c r="DH337" s="307"/>
      <c r="DI337" s="307"/>
      <c r="DJ337" s="307"/>
      <c r="DK337" s="307"/>
      <c r="DL337" s="307"/>
      <c r="DM337" s="307"/>
      <c r="DN337" s="307"/>
      <c r="DO337" s="307"/>
      <c r="DP337" s="307"/>
      <c r="DQ337" s="307"/>
      <c r="DR337" s="307"/>
    </row>
    <row r="338" spans="7:122" s="306" customFormat="1" ht="11.75" customHeight="1" x14ac:dyDescent="0.15"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  <c r="AA338" s="307"/>
      <c r="AB338" s="307"/>
      <c r="AC338" s="307"/>
      <c r="AD338" s="307"/>
      <c r="AE338" s="307"/>
      <c r="BA338" s="307"/>
      <c r="BB338" s="307"/>
      <c r="BC338" s="307"/>
      <c r="BD338" s="307"/>
      <c r="BE338" s="307"/>
      <c r="BF338" s="307"/>
      <c r="BG338" s="307"/>
      <c r="BH338" s="307"/>
      <c r="BI338" s="307"/>
      <c r="BJ338" s="307"/>
      <c r="BK338" s="307"/>
      <c r="BL338" s="307"/>
      <c r="BM338" s="307"/>
      <c r="BN338" s="307"/>
      <c r="BO338" s="307"/>
      <c r="BP338" s="307"/>
      <c r="BQ338" s="307"/>
      <c r="BR338" s="307"/>
      <c r="BS338" s="307"/>
      <c r="BT338" s="307"/>
      <c r="BU338" s="307"/>
      <c r="BV338" s="307"/>
      <c r="BW338" s="307"/>
      <c r="BX338" s="307"/>
      <c r="BY338" s="307"/>
      <c r="BZ338" s="307"/>
      <c r="CA338" s="311"/>
      <c r="CB338" s="307"/>
      <c r="CC338" s="313"/>
      <c r="CD338" s="313"/>
      <c r="CE338" s="313"/>
      <c r="CF338" s="313"/>
      <c r="CG338" s="313"/>
      <c r="CH338" s="313"/>
      <c r="CI338" s="313"/>
      <c r="CJ338" s="313"/>
      <c r="CK338" s="313"/>
      <c r="CL338" s="313"/>
      <c r="CM338" s="313"/>
      <c r="CN338" s="313"/>
      <c r="CO338" s="313"/>
      <c r="CP338" s="313"/>
      <c r="CQ338" s="307"/>
      <c r="CR338" s="307"/>
      <c r="CS338" s="307"/>
      <c r="CT338" s="313"/>
      <c r="CU338" s="307"/>
      <c r="CV338" s="307"/>
      <c r="CW338" s="307"/>
      <c r="CX338" s="313"/>
      <c r="CY338" s="307"/>
      <c r="CZ338" s="307"/>
      <c r="DA338" s="307"/>
      <c r="DB338" s="313"/>
      <c r="DC338" s="307"/>
      <c r="DD338" s="307"/>
      <c r="DE338" s="307"/>
      <c r="DF338" s="307"/>
      <c r="DG338" s="307"/>
      <c r="DH338" s="307"/>
      <c r="DI338" s="307"/>
      <c r="DJ338" s="307"/>
      <c r="DK338" s="307"/>
      <c r="DL338" s="307"/>
      <c r="DM338" s="307"/>
      <c r="DN338" s="307"/>
      <c r="DO338" s="307"/>
      <c r="DP338" s="307"/>
      <c r="DQ338" s="307"/>
      <c r="DR338" s="307"/>
    </row>
    <row r="339" spans="7:122" s="306" customFormat="1" ht="11.75" customHeight="1" x14ac:dyDescent="0.15"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  <c r="AA339" s="307"/>
      <c r="AB339" s="307"/>
      <c r="AC339" s="307"/>
      <c r="AD339" s="307"/>
      <c r="AE339" s="307"/>
      <c r="BA339" s="307"/>
      <c r="BB339" s="307"/>
      <c r="BC339" s="307"/>
      <c r="BD339" s="314"/>
      <c r="BE339" s="307"/>
      <c r="BF339" s="307"/>
      <c r="BG339" s="307"/>
      <c r="BH339" s="307"/>
      <c r="BI339" s="307"/>
      <c r="BJ339" s="307"/>
      <c r="BK339" s="307"/>
      <c r="BL339" s="307"/>
      <c r="BM339" s="307"/>
      <c r="BN339" s="307"/>
      <c r="BO339" s="307"/>
      <c r="BP339" s="307"/>
      <c r="BQ339" s="307"/>
      <c r="BR339" s="307"/>
      <c r="BS339" s="307"/>
      <c r="BT339" s="307"/>
      <c r="BU339" s="307"/>
      <c r="BV339" s="307"/>
      <c r="BW339" s="307"/>
      <c r="BX339" s="307"/>
      <c r="BY339" s="307"/>
      <c r="BZ339" s="307"/>
      <c r="CA339" s="311"/>
      <c r="CB339" s="307"/>
      <c r="CC339" s="313"/>
      <c r="CD339" s="313"/>
      <c r="CE339" s="313"/>
      <c r="CF339" s="313"/>
      <c r="CG339" s="313"/>
      <c r="CH339" s="313"/>
      <c r="CI339" s="313"/>
      <c r="CJ339" s="313"/>
      <c r="CK339" s="313"/>
      <c r="CL339" s="313"/>
      <c r="CM339" s="313"/>
      <c r="CN339" s="313"/>
      <c r="CO339" s="313"/>
      <c r="CP339" s="313"/>
      <c r="CQ339" s="307"/>
      <c r="CR339" s="307"/>
      <c r="CS339" s="307"/>
      <c r="CT339" s="313"/>
      <c r="CU339" s="307"/>
      <c r="CV339" s="307"/>
      <c r="CW339" s="307"/>
      <c r="CX339" s="313"/>
      <c r="CY339" s="307"/>
      <c r="CZ339" s="307"/>
      <c r="DA339" s="307"/>
      <c r="DB339" s="313"/>
      <c r="DC339" s="307"/>
      <c r="DD339" s="307"/>
      <c r="DE339" s="307"/>
      <c r="DF339" s="307"/>
      <c r="DG339" s="307"/>
      <c r="DH339" s="307"/>
      <c r="DI339" s="307"/>
      <c r="DJ339" s="307"/>
      <c r="DK339" s="307"/>
      <c r="DL339" s="307"/>
      <c r="DM339" s="307"/>
      <c r="DN339" s="307"/>
      <c r="DO339" s="307"/>
      <c r="DP339" s="307"/>
      <c r="DQ339" s="307"/>
      <c r="DR339" s="307"/>
    </row>
    <row r="340" spans="7:122" s="306" customFormat="1" ht="11.75" customHeight="1" x14ac:dyDescent="0.15"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  <c r="AA340" s="307"/>
      <c r="AB340" s="307"/>
      <c r="AC340" s="307"/>
      <c r="AD340" s="307"/>
      <c r="AE340" s="307"/>
      <c r="BA340" s="307"/>
      <c r="BB340" s="307"/>
      <c r="BC340" s="307"/>
      <c r="BD340" s="307"/>
      <c r="BE340" s="307"/>
      <c r="BF340" s="307"/>
      <c r="BG340" s="307"/>
      <c r="BH340" s="307"/>
      <c r="BI340" s="307"/>
      <c r="BJ340" s="307"/>
      <c r="BK340" s="307"/>
      <c r="BL340" s="307"/>
      <c r="BM340" s="307"/>
      <c r="BN340" s="307"/>
      <c r="BO340" s="307"/>
      <c r="BP340" s="307"/>
      <c r="BQ340" s="307"/>
      <c r="BR340" s="307"/>
      <c r="BS340" s="307"/>
      <c r="BT340" s="307"/>
      <c r="BU340" s="307"/>
      <c r="BV340" s="307"/>
      <c r="BW340" s="307"/>
      <c r="BX340" s="307"/>
      <c r="BY340" s="307"/>
      <c r="BZ340" s="307"/>
      <c r="CA340" s="311"/>
      <c r="CB340" s="307"/>
      <c r="CC340" s="313"/>
      <c r="CD340" s="313"/>
      <c r="CE340" s="313"/>
      <c r="CF340" s="313"/>
      <c r="CG340" s="313"/>
      <c r="CH340" s="313"/>
      <c r="CI340" s="313"/>
      <c r="CJ340" s="313"/>
      <c r="CK340" s="313"/>
      <c r="CL340" s="313"/>
      <c r="CM340" s="313"/>
      <c r="CN340" s="313"/>
      <c r="CO340" s="313"/>
      <c r="CP340" s="313"/>
      <c r="CQ340" s="307"/>
      <c r="CR340" s="307"/>
      <c r="CS340" s="307"/>
      <c r="CT340" s="313"/>
      <c r="CU340" s="307"/>
      <c r="CV340" s="307"/>
      <c r="CW340" s="307"/>
      <c r="CX340" s="313"/>
      <c r="CY340" s="307"/>
      <c r="CZ340" s="307"/>
      <c r="DA340" s="307"/>
      <c r="DB340" s="313"/>
      <c r="DC340" s="307"/>
      <c r="DD340" s="307"/>
      <c r="DE340" s="307"/>
      <c r="DF340" s="307"/>
      <c r="DG340" s="307"/>
      <c r="DH340" s="307"/>
      <c r="DI340" s="307"/>
      <c r="DJ340" s="307"/>
      <c r="DK340" s="307"/>
      <c r="DL340" s="307"/>
      <c r="DM340" s="307"/>
      <c r="DN340" s="307"/>
      <c r="DO340" s="307"/>
      <c r="DP340" s="307"/>
      <c r="DQ340" s="307"/>
      <c r="DR340" s="307"/>
    </row>
    <row r="341" spans="7:122" s="306" customFormat="1" ht="11.75" customHeight="1" x14ac:dyDescent="0.15"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  <c r="AA341" s="307"/>
      <c r="AB341" s="307"/>
      <c r="AC341" s="307"/>
      <c r="AD341" s="307"/>
      <c r="AE341" s="307"/>
      <c r="BA341" s="307"/>
      <c r="BB341" s="307"/>
      <c r="BC341" s="307"/>
      <c r="BD341" s="307"/>
      <c r="BE341" s="307"/>
      <c r="BF341" s="307"/>
      <c r="BG341" s="307"/>
      <c r="BH341" s="307"/>
      <c r="BI341" s="307"/>
      <c r="BJ341" s="307"/>
      <c r="BK341" s="307"/>
      <c r="BL341" s="307"/>
      <c r="BM341" s="307"/>
      <c r="BN341" s="307"/>
      <c r="BO341" s="307"/>
      <c r="BP341" s="307"/>
      <c r="BQ341" s="307"/>
      <c r="BR341" s="307"/>
      <c r="BS341" s="307"/>
      <c r="BT341" s="307"/>
      <c r="BU341" s="307"/>
      <c r="BV341" s="307"/>
      <c r="BW341" s="307"/>
      <c r="BX341" s="307"/>
      <c r="BY341" s="307"/>
      <c r="BZ341" s="307"/>
      <c r="CA341" s="307"/>
      <c r="CB341" s="307"/>
      <c r="CC341" s="307"/>
      <c r="CD341" s="307"/>
      <c r="CE341" s="307"/>
      <c r="CF341" s="307"/>
      <c r="CG341" s="307"/>
      <c r="CH341" s="307"/>
      <c r="CI341" s="307"/>
      <c r="CJ341" s="307"/>
      <c r="CK341" s="307"/>
      <c r="CL341" s="307"/>
      <c r="CM341" s="307"/>
      <c r="CN341" s="307"/>
      <c r="CO341" s="307"/>
      <c r="CP341" s="307"/>
      <c r="CQ341" s="307"/>
      <c r="CR341" s="307"/>
      <c r="CS341" s="307"/>
      <c r="CT341" s="307"/>
      <c r="CU341" s="307"/>
      <c r="CV341" s="307"/>
      <c r="CW341" s="307"/>
      <c r="CX341" s="307"/>
      <c r="CY341" s="307"/>
      <c r="CZ341" s="307"/>
      <c r="DA341" s="307"/>
      <c r="DB341" s="307"/>
      <c r="DC341" s="307"/>
      <c r="DD341" s="307"/>
      <c r="DE341" s="307"/>
      <c r="DF341" s="307"/>
      <c r="DG341" s="307"/>
      <c r="DH341" s="307"/>
      <c r="DI341" s="307"/>
      <c r="DJ341" s="307"/>
      <c r="DK341" s="307"/>
      <c r="DL341" s="307"/>
      <c r="DM341" s="307"/>
      <c r="DN341" s="307"/>
      <c r="DO341" s="307"/>
      <c r="DP341" s="307"/>
      <c r="DQ341" s="307"/>
      <c r="DR341" s="307"/>
    </row>
    <row r="342" spans="7:122" s="306" customFormat="1" ht="11.75" customHeight="1" x14ac:dyDescent="0.15"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  <c r="AA342" s="307"/>
      <c r="AB342" s="307"/>
      <c r="AC342" s="307"/>
      <c r="AD342" s="307"/>
      <c r="AE342" s="307"/>
      <c r="BA342" s="307"/>
      <c r="BB342" s="307"/>
      <c r="BC342" s="307"/>
      <c r="BD342" s="307"/>
      <c r="BE342" s="307"/>
      <c r="BF342" s="307"/>
      <c r="BG342" s="307"/>
      <c r="BH342" s="307"/>
      <c r="BI342" s="307"/>
      <c r="BJ342" s="307"/>
      <c r="BK342" s="307"/>
      <c r="BL342" s="307"/>
      <c r="BM342" s="307"/>
      <c r="BN342" s="307"/>
      <c r="BO342" s="307"/>
      <c r="BP342" s="307"/>
      <c r="BQ342" s="307"/>
      <c r="BR342" s="307"/>
      <c r="BS342" s="307"/>
      <c r="BT342" s="307"/>
      <c r="BU342" s="307"/>
      <c r="BV342" s="307"/>
      <c r="BW342" s="307"/>
      <c r="BX342" s="307"/>
      <c r="BY342" s="307"/>
      <c r="BZ342" s="307"/>
      <c r="CA342" s="307"/>
      <c r="CB342" s="307"/>
      <c r="CC342" s="307"/>
      <c r="CD342" s="307"/>
      <c r="CE342" s="307"/>
      <c r="CF342" s="307"/>
      <c r="CG342" s="307"/>
      <c r="CH342" s="307"/>
      <c r="CI342" s="307"/>
      <c r="CJ342" s="307"/>
      <c r="CK342" s="307"/>
      <c r="CL342" s="307"/>
      <c r="CM342" s="307"/>
      <c r="CN342" s="307"/>
      <c r="CO342" s="307"/>
      <c r="CP342" s="307"/>
      <c r="CQ342" s="307"/>
      <c r="CR342" s="307"/>
      <c r="CS342" s="307"/>
      <c r="CT342" s="307"/>
      <c r="CU342" s="307"/>
      <c r="CV342" s="307"/>
      <c r="CW342" s="307"/>
      <c r="CX342" s="307"/>
      <c r="CY342" s="307"/>
      <c r="CZ342" s="307"/>
      <c r="DA342" s="307"/>
      <c r="DB342" s="307"/>
      <c r="DC342" s="307"/>
      <c r="DD342" s="307"/>
      <c r="DE342" s="307"/>
      <c r="DF342" s="307"/>
      <c r="DG342" s="307"/>
      <c r="DH342" s="307"/>
      <c r="DI342" s="307"/>
      <c r="DJ342" s="307"/>
      <c r="DK342" s="307"/>
      <c r="DL342" s="307"/>
      <c r="DM342" s="307"/>
      <c r="DN342" s="307"/>
      <c r="DO342" s="307"/>
      <c r="DP342" s="307"/>
      <c r="DQ342" s="307"/>
      <c r="DR342" s="307"/>
    </row>
    <row r="343" spans="7:122" s="306" customFormat="1" ht="11.75" customHeight="1" x14ac:dyDescent="0.15"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  <c r="AA343" s="307"/>
      <c r="AB343" s="307"/>
      <c r="AC343" s="307"/>
      <c r="AD343" s="307"/>
      <c r="AE343" s="307"/>
      <c r="BA343" s="307"/>
      <c r="BB343" s="307"/>
      <c r="BC343" s="307"/>
      <c r="BD343" s="307"/>
      <c r="BE343" s="307"/>
      <c r="BF343" s="307"/>
      <c r="BG343" s="307"/>
      <c r="BH343" s="307"/>
      <c r="BI343" s="307"/>
      <c r="BJ343" s="307"/>
      <c r="BK343" s="307"/>
      <c r="BL343" s="307"/>
      <c r="BM343" s="307"/>
      <c r="BN343" s="307"/>
      <c r="BO343" s="307"/>
      <c r="BP343" s="307"/>
      <c r="BQ343" s="307"/>
      <c r="BR343" s="307"/>
      <c r="BS343" s="307"/>
      <c r="BT343" s="307"/>
      <c r="BU343" s="307"/>
      <c r="BV343" s="307"/>
      <c r="BW343" s="307"/>
      <c r="BX343" s="307"/>
      <c r="BY343" s="307"/>
      <c r="BZ343" s="307"/>
      <c r="CA343" s="307"/>
      <c r="CB343" s="307"/>
      <c r="CC343" s="307"/>
      <c r="CD343" s="307"/>
      <c r="CE343" s="307"/>
      <c r="CF343" s="307"/>
      <c r="CG343" s="307"/>
      <c r="CH343" s="307"/>
      <c r="CI343" s="307"/>
      <c r="CJ343" s="307"/>
      <c r="CK343" s="307"/>
      <c r="CL343" s="307"/>
      <c r="CM343" s="307"/>
      <c r="CN343" s="307"/>
      <c r="CO343" s="307"/>
      <c r="CP343" s="307"/>
      <c r="CQ343" s="307"/>
      <c r="CR343" s="307"/>
      <c r="CS343" s="307"/>
      <c r="CT343" s="307"/>
      <c r="CU343" s="307"/>
      <c r="CV343" s="307"/>
      <c r="CW343" s="307"/>
      <c r="CX343" s="307"/>
      <c r="CY343" s="307"/>
      <c r="CZ343" s="307"/>
      <c r="DA343" s="307"/>
      <c r="DB343" s="307"/>
      <c r="DC343" s="307"/>
      <c r="DD343" s="307"/>
      <c r="DE343" s="307"/>
      <c r="DF343" s="307"/>
      <c r="DG343" s="307"/>
      <c r="DH343" s="307"/>
      <c r="DI343" s="307"/>
      <c r="DJ343" s="307"/>
      <c r="DK343" s="307"/>
      <c r="DL343" s="307"/>
      <c r="DM343" s="307"/>
      <c r="DN343" s="307"/>
      <c r="DO343" s="307"/>
      <c r="DP343" s="307"/>
      <c r="DQ343" s="307"/>
      <c r="DR343" s="307"/>
    </row>
    <row r="344" spans="7:122" s="306" customFormat="1" ht="11.75" customHeight="1" x14ac:dyDescent="0.15"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  <c r="Z344" s="307"/>
      <c r="AA344" s="307"/>
      <c r="AB344" s="307"/>
      <c r="AC344" s="307"/>
      <c r="AD344" s="307"/>
      <c r="AE344" s="307"/>
      <c r="BA344" s="307"/>
      <c r="BB344" s="307"/>
      <c r="BC344" s="307"/>
      <c r="BD344" s="307"/>
      <c r="BE344" s="307"/>
      <c r="BF344" s="307"/>
      <c r="BG344" s="307"/>
      <c r="BH344" s="307"/>
      <c r="BI344" s="307"/>
      <c r="BJ344" s="307"/>
      <c r="BK344" s="307"/>
      <c r="BL344" s="307"/>
      <c r="BM344" s="307"/>
      <c r="BN344" s="307"/>
      <c r="BO344" s="307"/>
      <c r="BP344" s="307"/>
      <c r="BQ344" s="307"/>
      <c r="BR344" s="307"/>
      <c r="BS344" s="307"/>
      <c r="BT344" s="307"/>
      <c r="BU344" s="307"/>
      <c r="BV344" s="307"/>
      <c r="BW344" s="307"/>
      <c r="BX344" s="307"/>
      <c r="BY344" s="307"/>
      <c r="BZ344" s="307"/>
      <c r="CA344" s="307"/>
      <c r="CB344" s="307"/>
      <c r="CC344" s="307"/>
      <c r="CD344" s="307"/>
      <c r="CE344" s="307"/>
      <c r="CF344" s="307"/>
      <c r="CG344" s="307"/>
      <c r="CH344" s="307"/>
      <c r="CI344" s="307"/>
      <c r="CJ344" s="307"/>
      <c r="CK344" s="307"/>
      <c r="CL344" s="307"/>
      <c r="CM344" s="307"/>
      <c r="CN344" s="307"/>
      <c r="CO344" s="307"/>
      <c r="CP344" s="307"/>
      <c r="CQ344" s="307"/>
      <c r="CR344" s="307"/>
      <c r="CS344" s="307"/>
      <c r="CT344" s="307"/>
      <c r="CU344" s="307"/>
      <c r="CV344" s="307"/>
      <c r="CW344" s="307"/>
      <c r="CX344" s="307"/>
      <c r="CY344" s="307"/>
      <c r="CZ344" s="307"/>
      <c r="DA344" s="307"/>
      <c r="DB344" s="307"/>
      <c r="DC344" s="307"/>
      <c r="DD344" s="307"/>
      <c r="DE344" s="307"/>
      <c r="DF344" s="307"/>
      <c r="DG344" s="307"/>
      <c r="DH344" s="307"/>
      <c r="DI344" s="307"/>
      <c r="DJ344" s="307"/>
      <c r="DK344" s="307"/>
      <c r="DL344" s="307"/>
      <c r="DM344" s="307"/>
      <c r="DN344" s="307"/>
      <c r="DO344" s="307"/>
      <c r="DP344" s="307"/>
      <c r="DQ344" s="307"/>
      <c r="DR344" s="307"/>
    </row>
    <row r="345" spans="7:122" s="306" customFormat="1" ht="11.75" customHeight="1" x14ac:dyDescent="0.15"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  <c r="Z345" s="307"/>
      <c r="AA345" s="307"/>
      <c r="AB345" s="307"/>
      <c r="AC345" s="307"/>
      <c r="AD345" s="307"/>
      <c r="AE345" s="307"/>
      <c r="BA345" s="307"/>
      <c r="BB345" s="307"/>
      <c r="BC345" s="307"/>
      <c r="BD345" s="307"/>
      <c r="BE345" s="307"/>
      <c r="BF345" s="307"/>
      <c r="BG345" s="307"/>
      <c r="BH345" s="307"/>
      <c r="BI345" s="307"/>
      <c r="BJ345" s="307"/>
      <c r="BK345" s="307"/>
      <c r="BL345" s="307"/>
      <c r="BM345" s="307"/>
      <c r="BN345" s="307"/>
      <c r="BO345" s="307"/>
      <c r="BP345" s="307"/>
      <c r="BQ345" s="307"/>
      <c r="BR345" s="307"/>
      <c r="BS345" s="307"/>
      <c r="BT345" s="307"/>
      <c r="BU345" s="307"/>
      <c r="BV345" s="307"/>
      <c r="BW345" s="307"/>
      <c r="BX345" s="307"/>
      <c r="BY345" s="307"/>
      <c r="BZ345" s="307"/>
      <c r="CA345" s="307"/>
      <c r="CB345" s="307"/>
      <c r="CC345" s="307"/>
      <c r="CD345" s="307"/>
      <c r="CE345" s="307"/>
      <c r="CF345" s="307"/>
      <c r="CG345" s="307"/>
      <c r="CH345" s="307"/>
      <c r="CI345" s="307"/>
      <c r="CJ345" s="307"/>
      <c r="CK345" s="307"/>
      <c r="CL345" s="307"/>
      <c r="CM345" s="307"/>
      <c r="CN345" s="307"/>
      <c r="CO345" s="307"/>
      <c r="CP345" s="307"/>
      <c r="CQ345" s="307"/>
      <c r="CR345" s="307"/>
      <c r="CS345" s="307"/>
      <c r="CT345" s="307"/>
      <c r="CU345" s="307"/>
      <c r="CV345" s="307"/>
      <c r="CW345" s="307"/>
      <c r="CX345" s="307"/>
      <c r="CY345" s="307"/>
      <c r="CZ345" s="307"/>
      <c r="DA345" s="307"/>
      <c r="DB345" s="307"/>
      <c r="DC345" s="307"/>
      <c r="DD345" s="307"/>
      <c r="DE345" s="307"/>
      <c r="DF345" s="307"/>
      <c r="DG345" s="307"/>
      <c r="DH345" s="307"/>
      <c r="DI345" s="307"/>
      <c r="DJ345" s="307"/>
      <c r="DK345" s="307"/>
      <c r="DL345" s="307"/>
      <c r="DM345" s="307"/>
      <c r="DN345" s="307"/>
      <c r="DO345" s="307"/>
      <c r="DP345" s="307"/>
      <c r="DQ345" s="307"/>
      <c r="DR345" s="307"/>
    </row>
    <row r="346" spans="7:122" s="306" customFormat="1" ht="11.75" customHeight="1" x14ac:dyDescent="0.15"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  <c r="Z346" s="307"/>
      <c r="AA346" s="307"/>
      <c r="AB346" s="307"/>
      <c r="AC346" s="307"/>
      <c r="AD346" s="307"/>
      <c r="AE346" s="307"/>
      <c r="BA346" s="307"/>
      <c r="BB346" s="307"/>
      <c r="BC346" s="307"/>
      <c r="BD346" s="307"/>
      <c r="BE346" s="307"/>
      <c r="BF346" s="307"/>
      <c r="BG346" s="307"/>
      <c r="BH346" s="307"/>
      <c r="BI346" s="307"/>
      <c r="BJ346" s="307"/>
      <c r="BK346" s="307"/>
      <c r="BL346" s="307"/>
      <c r="BM346" s="307"/>
      <c r="BN346" s="307"/>
      <c r="BO346" s="307"/>
      <c r="BP346" s="307"/>
      <c r="BQ346" s="307"/>
      <c r="BR346" s="307"/>
      <c r="BS346" s="307"/>
      <c r="BT346" s="307"/>
      <c r="BU346" s="307"/>
      <c r="BV346" s="307"/>
      <c r="BW346" s="307"/>
      <c r="BX346" s="307"/>
      <c r="BY346" s="307"/>
      <c r="BZ346" s="307"/>
      <c r="CA346" s="307"/>
      <c r="CB346" s="307"/>
      <c r="CC346" s="307"/>
      <c r="CD346" s="307"/>
      <c r="CE346" s="307"/>
      <c r="CF346" s="307"/>
      <c r="CG346" s="307"/>
      <c r="CH346" s="307"/>
      <c r="CI346" s="307"/>
      <c r="CJ346" s="307"/>
      <c r="CK346" s="307"/>
      <c r="CL346" s="307"/>
      <c r="CM346" s="307"/>
      <c r="CN346" s="307"/>
      <c r="CO346" s="307"/>
      <c r="CP346" s="307"/>
      <c r="CQ346" s="307"/>
      <c r="CR346" s="307"/>
      <c r="CS346" s="307"/>
      <c r="CT346" s="307"/>
      <c r="CU346" s="307"/>
      <c r="CV346" s="307"/>
      <c r="CW346" s="307"/>
      <c r="CX346" s="307"/>
      <c r="CY346" s="307"/>
      <c r="CZ346" s="307"/>
      <c r="DA346" s="307"/>
      <c r="DB346" s="307"/>
      <c r="DC346" s="307"/>
      <c r="DD346" s="307"/>
      <c r="DE346" s="307"/>
      <c r="DF346" s="307"/>
      <c r="DG346" s="307"/>
      <c r="DH346" s="307"/>
      <c r="DI346" s="307"/>
      <c r="DJ346" s="307"/>
      <c r="DK346" s="307"/>
      <c r="DL346" s="307"/>
      <c r="DM346" s="307"/>
      <c r="DN346" s="307"/>
      <c r="DO346" s="307"/>
      <c r="DP346" s="307"/>
      <c r="DQ346" s="307"/>
      <c r="DR346" s="307"/>
    </row>
    <row r="347" spans="7:122" s="306" customFormat="1" ht="11.75" customHeight="1" x14ac:dyDescent="0.15"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  <c r="AA347" s="307"/>
      <c r="AB347" s="307"/>
      <c r="AC347" s="307"/>
      <c r="AD347" s="307"/>
      <c r="AE347" s="307"/>
      <c r="BA347" s="307"/>
      <c r="BB347" s="307"/>
      <c r="BC347" s="307"/>
      <c r="BD347" s="314"/>
      <c r="BE347" s="307"/>
      <c r="BF347" s="307"/>
      <c r="BG347" s="307"/>
      <c r="BH347" s="307"/>
      <c r="BI347" s="307"/>
      <c r="BJ347" s="307"/>
      <c r="BK347" s="307"/>
      <c r="BL347" s="307"/>
      <c r="BM347" s="307"/>
      <c r="BN347" s="307"/>
      <c r="BO347" s="307"/>
      <c r="BP347" s="307"/>
      <c r="BQ347" s="307"/>
      <c r="BR347" s="307"/>
      <c r="BS347" s="307"/>
      <c r="BT347" s="307"/>
      <c r="BU347" s="307"/>
      <c r="BV347" s="307"/>
      <c r="BW347" s="307"/>
      <c r="BX347" s="307"/>
      <c r="BY347" s="307"/>
      <c r="BZ347" s="307"/>
      <c r="CA347" s="307"/>
      <c r="CB347" s="307"/>
      <c r="CC347" s="307"/>
      <c r="CD347" s="307"/>
      <c r="CE347" s="307"/>
      <c r="CF347" s="307"/>
      <c r="CG347" s="307"/>
      <c r="CH347" s="307"/>
      <c r="CI347" s="307"/>
      <c r="CJ347" s="307"/>
      <c r="CK347" s="307"/>
      <c r="CL347" s="307"/>
      <c r="CM347" s="307"/>
      <c r="CN347" s="307"/>
      <c r="CO347" s="307"/>
      <c r="CP347" s="307"/>
      <c r="CQ347" s="307"/>
      <c r="CR347" s="307"/>
      <c r="CS347" s="307"/>
      <c r="CT347" s="307"/>
      <c r="CU347" s="307"/>
      <c r="CV347" s="307"/>
      <c r="CW347" s="307"/>
      <c r="CX347" s="307"/>
      <c r="CY347" s="307"/>
      <c r="CZ347" s="307"/>
      <c r="DA347" s="307"/>
      <c r="DB347" s="307"/>
      <c r="DC347" s="307"/>
      <c r="DD347" s="307"/>
      <c r="DE347" s="307"/>
      <c r="DF347" s="307"/>
      <c r="DG347" s="307"/>
      <c r="DH347" s="307"/>
      <c r="DI347" s="307"/>
      <c r="DJ347" s="307"/>
      <c r="DK347" s="307"/>
      <c r="DL347" s="307"/>
      <c r="DM347" s="307"/>
      <c r="DN347" s="307"/>
      <c r="DO347" s="307"/>
      <c r="DP347" s="307"/>
      <c r="DQ347" s="307"/>
      <c r="DR347" s="307"/>
    </row>
    <row r="348" spans="7:122" s="306" customFormat="1" ht="11.75" customHeight="1" x14ac:dyDescent="0.15"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  <c r="Z348" s="307"/>
      <c r="AA348" s="307"/>
      <c r="AB348" s="307"/>
      <c r="AC348" s="307"/>
      <c r="AD348" s="307"/>
      <c r="AE348" s="307"/>
      <c r="BA348" s="307"/>
      <c r="BB348" s="307"/>
      <c r="BC348" s="307"/>
      <c r="BD348" s="307"/>
      <c r="BE348" s="307"/>
      <c r="BF348" s="307"/>
      <c r="BG348" s="307"/>
      <c r="BH348" s="307"/>
      <c r="BI348" s="307"/>
      <c r="BJ348" s="307"/>
      <c r="BK348" s="307"/>
      <c r="BL348" s="307"/>
      <c r="BM348" s="307"/>
      <c r="BN348" s="307"/>
      <c r="BO348" s="307"/>
      <c r="BP348" s="307"/>
      <c r="BQ348" s="307"/>
      <c r="BR348" s="307"/>
      <c r="BS348" s="307"/>
      <c r="BT348" s="307"/>
      <c r="BU348" s="307"/>
      <c r="BV348" s="307"/>
      <c r="BW348" s="307"/>
      <c r="BX348" s="307"/>
      <c r="BY348" s="307"/>
      <c r="BZ348" s="307"/>
      <c r="CA348" s="307"/>
      <c r="CB348" s="307"/>
      <c r="CC348" s="307"/>
      <c r="CD348" s="307"/>
      <c r="CE348" s="307"/>
      <c r="CF348" s="307"/>
      <c r="CG348" s="307"/>
      <c r="CH348" s="307"/>
      <c r="CI348" s="307"/>
      <c r="CJ348" s="307"/>
      <c r="CK348" s="307"/>
      <c r="CL348" s="307"/>
      <c r="CM348" s="307"/>
      <c r="CN348" s="307"/>
      <c r="CO348" s="307"/>
      <c r="CP348" s="307"/>
      <c r="CQ348" s="307"/>
      <c r="CR348" s="307"/>
      <c r="CS348" s="307"/>
      <c r="CT348" s="307"/>
      <c r="CU348" s="307"/>
      <c r="CV348" s="307"/>
      <c r="CW348" s="307"/>
      <c r="CX348" s="307"/>
      <c r="CY348" s="307"/>
      <c r="CZ348" s="307"/>
      <c r="DA348" s="307"/>
      <c r="DB348" s="307"/>
      <c r="DC348" s="307"/>
      <c r="DD348" s="307"/>
      <c r="DE348" s="307"/>
      <c r="DF348" s="307"/>
      <c r="DG348" s="307"/>
      <c r="DH348" s="307"/>
      <c r="DI348" s="307"/>
      <c r="DJ348" s="307"/>
      <c r="DK348" s="307"/>
      <c r="DL348" s="307"/>
      <c r="DM348" s="307"/>
      <c r="DN348" s="307"/>
      <c r="DO348" s="307"/>
      <c r="DP348" s="307"/>
      <c r="DQ348" s="307"/>
      <c r="DR348" s="307"/>
    </row>
    <row r="349" spans="7:122" s="306" customFormat="1" ht="11.75" customHeight="1" x14ac:dyDescent="0.15"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  <c r="Z349" s="307"/>
      <c r="AA349" s="307"/>
      <c r="AB349" s="307"/>
      <c r="AC349" s="307"/>
      <c r="AD349" s="307"/>
      <c r="AE349" s="307"/>
      <c r="BA349" s="307"/>
      <c r="BB349" s="307"/>
      <c r="BC349" s="307"/>
      <c r="BD349" s="307"/>
      <c r="BE349" s="307"/>
      <c r="BF349" s="307"/>
      <c r="BG349" s="307"/>
      <c r="BH349" s="307"/>
      <c r="BI349" s="307"/>
      <c r="BJ349" s="307"/>
      <c r="BK349" s="307"/>
      <c r="BL349" s="307"/>
      <c r="BM349" s="307"/>
      <c r="BN349" s="307"/>
      <c r="BO349" s="307"/>
      <c r="BP349" s="307"/>
      <c r="BQ349" s="307"/>
      <c r="BR349" s="307"/>
      <c r="BS349" s="307"/>
      <c r="BT349" s="307"/>
      <c r="BU349" s="307"/>
      <c r="BV349" s="307"/>
      <c r="BW349" s="307"/>
      <c r="BX349" s="307"/>
      <c r="BY349" s="307"/>
      <c r="BZ349" s="307"/>
      <c r="CA349" s="307"/>
      <c r="CB349" s="307"/>
      <c r="CC349" s="307"/>
      <c r="CD349" s="307"/>
      <c r="CE349" s="307"/>
      <c r="CF349" s="307"/>
      <c r="CG349" s="307"/>
      <c r="CH349" s="307"/>
      <c r="CI349" s="307"/>
      <c r="CJ349" s="307"/>
      <c r="CK349" s="307"/>
      <c r="CL349" s="307"/>
      <c r="CM349" s="307"/>
      <c r="CN349" s="307"/>
      <c r="CO349" s="307"/>
      <c r="CP349" s="307"/>
      <c r="CQ349" s="307"/>
      <c r="CR349" s="307"/>
      <c r="CS349" s="307"/>
      <c r="CT349" s="307"/>
      <c r="CU349" s="307"/>
      <c r="CV349" s="307"/>
      <c r="CW349" s="307"/>
      <c r="CX349" s="307"/>
      <c r="CY349" s="307"/>
      <c r="CZ349" s="307"/>
      <c r="DA349" s="307"/>
      <c r="DB349" s="307"/>
      <c r="DC349" s="307"/>
      <c r="DD349" s="307"/>
      <c r="DE349" s="307"/>
      <c r="DF349" s="307"/>
      <c r="DG349" s="307"/>
      <c r="DH349" s="307"/>
      <c r="DI349" s="307"/>
      <c r="DJ349" s="307"/>
      <c r="DK349" s="307"/>
      <c r="DL349" s="307"/>
      <c r="DM349" s="307"/>
      <c r="DN349" s="307"/>
      <c r="DO349" s="307"/>
      <c r="DP349" s="307"/>
      <c r="DQ349" s="307"/>
      <c r="DR349" s="307"/>
    </row>
    <row r="350" spans="7:122" s="306" customFormat="1" ht="11.75" customHeight="1" x14ac:dyDescent="0.15"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  <c r="Z350" s="307"/>
      <c r="AA350" s="307"/>
      <c r="AB350" s="307"/>
      <c r="AC350" s="307"/>
      <c r="AD350" s="307"/>
      <c r="AE350" s="307"/>
      <c r="BA350" s="307"/>
      <c r="BB350" s="307"/>
      <c r="BC350" s="307"/>
      <c r="BD350" s="307"/>
      <c r="BE350" s="307"/>
      <c r="BF350" s="307"/>
      <c r="BG350" s="307"/>
      <c r="BH350" s="307"/>
      <c r="BI350" s="307"/>
      <c r="BJ350" s="307"/>
      <c r="BK350" s="307"/>
      <c r="BL350" s="307"/>
      <c r="BM350" s="307"/>
      <c r="BN350" s="307"/>
      <c r="BO350" s="307"/>
      <c r="BP350" s="307"/>
      <c r="BQ350" s="307"/>
      <c r="BR350" s="307"/>
      <c r="BS350" s="307"/>
      <c r="BT350" s="307"/>
      <c r="BU350" s="307"/>
      <c r="BV350" s="307"/>
      <c r="BW350" s="307"/>
      <c r="BX350" s="307"/>
      <c r="BY350" s="307"/>
      <c r="BZ350" s="307"/>
      <c r="CA350" s="307"/>
      <c r="CB350" s="307"/>
      <c r="CC350" s="307"/>
      <c r="CD350" s="307"/>
      <c r="CE350" s="307"/>
      <c r="CF350" s="307"/>
      <c r="CG350" s="307"/>
      <c r="CH350" s="307"/>
      <c r="CI350" s="307"/>
      <c r="CJ350" s="307"/>
      <c r="CK350" s="307"/>
      <c r="CL350" s="307"/>
      <c r="CM350" s="307"/>
      <c r="CN350" s="307"/>
      <c r="CO350" s="307"/>
      <c r="CP350" s="307"/>
      <c r="CQ350" s="307"/>
      <c r="CR350" s="307"/>
      <c r="CS350" s="307"/>
      <c r="CT350" s="307"/>
      <c r="CU350" s="307"/>
      <c r="CV350" s="307"/>
      <c r="CW350" s="307"/>
      <c r="CX350" s="307"/>
      <c r="CY350" s="307"/>
      <c r="CZ350" s="307"/>
      <c r="DA350" s="307"/>
      <c r="DB350" s="307"/>
      <c r="DC350" s="307"/>
      <c r="DD350" s="307"/>
      <c r="DE350" s="307"/>
      <c r="DF350" s="307"/>
      <c r="DG350" s="307"/>
      <c r="DH350" s="307"/>
      <c r="DI350" s="307"/>
      <c r="DJ350" s="307"/>
      <c r="DK350" s="307"/>
      <c r="DL350" s="307"/>
      <c r="DM350" s="307"/>
      <c r="DN350" s="307"/>
      <c r="DO350" s="307"/>
      <c r="DP350" s="307"/>
      <c r="DQ350" s="307"/>
      <c r="DR350" s="307"/>
    </row>
    <row r="351" spans="7:122" s="306" customFormat="1" ht="11.75" customHeight="1" x14ac:dyDescent="0.15"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  <c r="Z351" s="307"/>
      <c r="AA351" s="307"/>
      <c r="AB351" s="307"/>
      <c r="AC351" s="307"/>
      <c r="AD351" s="307"/>
      <c r="AE351" s="307"/>
      <c r="BA351" s="307"/>
      <c r="BB351" s="307"/>
      <c r="BC351" s="307"/>
      <c r="BD351" s="307"/>
      <c r="BE351" s="307"/>
      <c r="BF351" s="307"/>
      <c r="BG351" s="307"/>
      <c r="BH351" s="307"/>
      <c r="BI351" s="307"/>
      <c r="BJ351" s="307"/>
      <c r="BK351" s="307"/>
      <c r="BL351" s="307"/>
      <c r="BM351" s="307"/>
      <c r="BN351" s="307"/>
      <c r="BO351" s="307"/>
      <c r="BP351" s="307"/>
      <c r="BQ351" s="307"/>
      <c r="BR351" s="307"/>
      <c r="BS351" s="307"/>
      <c r="BT351" s="307"/>
      <c r="BU351" s="307"/>
      <c r="BV351" s="307"/>
      <c r="BW351" s="307"/>
      <c r="BX351" s="307"/>
      <c r="BY351" s="307"/>
      <c r="BZ351" s="307"/>
      <c r="CA351" s="307"/>
      <c r="CB351" s="307"/>
      <c r="CC351" s="307"/>
      <c r="CD351" s="307"/>
      <c r="CE351" s="307"/>
      <c r="CF351" s="307"/>
      <c r="CG351" s="307"/>
      <c r="CH351" s="307"/>
      <c r="CI351" s="307"/>
      <c r="CJ351" s="307"/>
      <c r="CK351" s="307"/>
      <c r="CL351" s="307"/>
      <c r="CM351" s="307"/>
      <c r="CN351" s="307"/>
      <c r="CO351" s="307"/>
      <c r="CP351" s="307"/>
      <c r="CQ351" s="307"/>
      <c r="CR351" s="307"/>
      <c r="CS351" s="307"/>
      <c r="CT351" s="307"/>
      <c r="CU351" s="307"/>
      <c r="CV351" s="307"/>
      <c r="CW351" s="307"/>
      <c r="CX351" s="307"/>
      <c r="CY351" s="307"/>
      <c r="CZ351" s="307"/>
      <c r="DA351" s="307"/>
      <c r="DB351" s="307"/>
      <c r="DC351" s="307"/>
      <c r="DD351" s="307"/>
      <c r="DE351" s="307"/>
      <c r="DF351" s="307"/>
      <c r="DG351" s="307"/>
      <c r="DH351" s="307"/>
      <c r="DI351" s="307"/>
      <c r="DJ351" s="307"/>
      <c r="DK351" s="307"/>
      <c r="DL351" s="307"/>
      <c r="DM351" s="307"/>
      <c r="DN351" s="307"/>
      <c r="DO351" s="307"/>
      <c r="DP351" s="307"/>
      <c r="DQ351" s="307"/>
      <c r="DR351" s="307"/>
    </row>
    <row r="352" spans="7:122" s="306" customFormat="1" ht="11.75" customHeight="1" x14ac:dyDescent="0.15"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  <c r="Z352" s="307"/>
      <c r="AA352" s="307"/>
      <c r="AB352" s="307"/>
      <c r="AC352" s="307"/>
      <c r="AD352" s="307"/>
      <c r="AE352" s="307"/>
      <c r="BA352" s="307"/>
      <c r="BB352" s="307"/>
      <c r="BC352" s="307"/>
      <c r="BD352" s="307"/>
      <c r="BE352" s="307"/>
      <c r="BF352" s="307"/>
      <c r="BG352" s="307"/>
      <c r="BH352" s="307"/>
      <c r="BI352" s="307"/>
      <c r="BJ352" s="307"/>
      <c r="BK352" s="307"/>
      <c r="BL352" s="307"/>
      <c r="BM352" s="307"/>
      <c r="BN352" s="307"/>
      <c r="BO352" s="307"/>
      <c r="BP352" s="307"/>
      <c r="BQ352" s="307"/>
      <c r="BR352" s="307"/>
      <c r="BS352" s="307"/>
      <c r="BT352" s="307"/>
      <c r="BU352" s="307"/>
      <c r="BV352" s="307"/>
      <c r="BW352" s="307"/>
      <c r="BX352" s="307"/>
      <c r="BY352" s="307"/>
      <c r="BZ352" s="307"/>
      <c r="CA352" s="307"/>
      <c r="CB352" s="307"/>
      <c r="CC352" s="307"/>
      <c r="CD352" s="307"/>
      <c r="CE352" s="307"/>
      <c r="CF352" s="307"/>
      <c r="CG352" s="307"/>
      <c r="CH352" s="307"/>
      <c r="CI352" s="307"/>
      <c r="CJ352" s="307"/>
      <c r="CK352" s="307"/>
      <c r="CL352" s="307"/>
      <c r="CM352" s="307"/>
      <c r="CN352" s="307"/>
      <c r="CO352" s="307"/>
      <c r="CP352" s="307"/>
      <c r="CQ352" s="307"/>
      <c r="CR352" s="307"/>
      <c r="CS352" s="307"/>
      <c r="CT352" s="307"/>
      <c r="CU352" s="307"/>
      <c r="CV352" s="307"/>
      <c r="CW352" s="307"/>
      <c r="CX352" s="307"/>
      <c r="CY352" s="307"/>
      <c r="CZ352" s="307"/>
      <c r="DA352" s="307"/>
      <c r="DB352" s="307"/>
      <c r="DC352" s="307"/>
      <c r="DD352" s="307"/>
      <c r="DE352" s="307"/>
      <c r="DF352" s="307"/>
      <c r="DG352" s="307"/>
      <c r="DH352" s="307"/>
      <c r="DI352" s="307"/>
      <c r="DJ352" s="307"/>
      <c r="DK352" s="307"/>
      <c r="DL352" s="307"/>
      <c r="DM352" s="307"/>
      <c r="DN352" s="307"/>
      <c r="DO352" s="307"/>
      <c r="DP352" s="307"/>
      <c r="DQ352" s="307"/>
      <c r="DR352" s="307"/>
    </row>
    <row r="353" spans="7:122" s="306" customFormat="1" ht="11.75" customHeight="1" x14ac:dyDescent="0.15"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  <c r="Z353" s="307"/>
      <c r="AA353" s="307"/>
      <c r="AB353" s="307"/>
      <c r="AC353" s="307"/>
      <c r="AD353" s="307"/>
      <c r="AE353" s="307"/>
      <c r="BA353" s="307"/>
      <c r="BB353" s="307"/>
      <c r="BC353" s="307"/>
      <c r="BD353" s="307"/>
      <c r="BE353" s="307"/>
      <c r="BF353" s="307"/>
      <c r="BG353" s="307"/>
      <c r="BH353" s="307"/>
      <c r="BI353" s="307"/>
      <c r="BJ353" s="307"/>
      <c r="BK353" s="307"/>
      <c r="BL353" s="307"/>
      <c r="BM353" s="307"/>
      <c r="BN353" s="307"/>
      <c r="BO353" s="307"/>
      <c r="BP353" s="307"/>
      <c r="BQ353" s="307"/>
      <c r="BR353" s="307"/>
      <c r="BS353" s="307"/>
      <c r="BT353" s="307"/>
      <c r="BU353" s="307"/>
      <c r="BV353" s="307"/>
      <c r="BW353" s="307"/>
      <c r="BX353" s="307"/>
      <c r="BY353" s="307"/>
      <c r="BZ353" s="307"/>
      <c r="CA353" s="307"/>
      <c r="CB353" s="307"/>
      <c r="CC353" s="307"/>
      <c r="CD353" s="307"/>
      <c r="CE353" s="307"/>
      <c r="CF353" s="307"/>
      <c r="CG353" s="307"/>
      <c r="CH353" s="307"/>
      <c r="CI353" s="307"/>
      <c r="CJ353" s="307"/>
      <c r="CK353" s="307"/>
      <c r="CL353" s="307"/>
      <c r="CM353" s="307"/>
      <c r="CN353" s="307"/>
      <c r="CO353" s="307"/>
      <c r="CP353" s="307"/>
      <c r="CQ353" s="307"/>
      <c r="CR353" s="307"/>
      <c r="CS353" s="307"/>
      <c r="CT353" s="307"/>
      <c r="CU353" s="307"/>
      <c r="CV353" s="307"/>
      <c r="CW353" s="307"/>
      <c r="CX353" s="307"/>
      <c r="CY353" s="307"/>
      <c r="CZ353" s="307"/>
      <c r="DA353" s="307"/>
      <c r="DB353" s="307"/>
      <c r="DC353" s="307"/>
      <c r="DD353" s="307"/>
      <c r="DE353" s="307"/>
      <c r="DF353" s="307"/>
      <c r="DG353" s="307"/>
      <c r="DH353" s="307"/>
      <c r="DI353" s="307"/>
      <c r="DJ353" s="307"/>
      <c r="DK353" s="307"/>
      <c r="DL353" s="307"/>
      <c r="DM353" s="307"/>
      <c r="DN353" s="307"/>
      <c r="DO353" s="307"/>
      <c r="DP353" s="307"/>
      <c r="DQ353" s="307"/>
      <c r="DR353" s="307"/>
    </row>
    <row r="354" spans="7:122" s="306" customFormat="1" ht="11.75" customHeight="1" x14ac:dyDescent="0.15"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  <c r="Z354" s="307"/>
      <c r="AA354" s="307"/>
      <c r="AB354" s="307"/>
      <c r="AC354" s="307"/>
      <c r="AD354" s="307"/>
      <c r="AE354" s="307"/>
      <c r="BA354" s="307"/>
      <c r="BB354" s="307"/>
      <c r="BC354" s="307"/>
      <c r="BD354" s="307"/>
      <c r="BE354" s="307"/>
      <c r="BF354" s="307"/>
      <c r="BG354" s="307"/>
      <c r="BH354" s="307"/>
      <c r="BI354" s="307"/>
      <c r="BJ354" s="307"/>
      <c r="BK354" s="307"/>
      <c r="BL354" s="307"/>
      <c r="BM354" s="307"/>
      <c r="BN354" s="307"/>
      <c r="BO354" s="307"/>
      <c r="BP354" s="307"/>
      <c r="BQ354" s="307"/>
      <c r="BR354" s="307"/>
      <c r="BS354" s="307"/>
      <c r="BT354" s="307"/>
      <c r="BU354" s="307"/>
      <c r="BV354" s="307"/>
      <c r="BW354" s="307"/>
      <c r="BX354" s="307"/>
      <c r="BY354" s="307"/>
      <c r="BZ354" s="307"/>
      <c r="CA354" s="307"/>
      <c r="CB354" s="307"/>
      <c r="CC354" s="307"/>
      <c r="CD354" s="307"/>
      <c r="CE354" s="307"/>
      <c r="CF354" s="307"/>
      <c r="CG354" s="307"/>
      <c r="CH354" s="307"/>
      <c r="CI354" s="307"/>
      <c r="CJ354" s="307"/>
      <c r="CK354" s="307"/>
      <c r="CL354" s="307"/>
      <c r="CM354" s="307"/>
      <c r="CN354" s="307"/>
      <c r="CO354" s="307"/>
      <c r="CP354" s="307"/>
      <c r="CQ354" s="307"/>
      <c r="CR354" s="307"/>
      <c r="CS354" s="307"/>
      <c r="CT354" s="307"/>
      <c r="CU354" s="307"/>
      <c r="CV354" s="307"/>
      <c r="CW354" s="307"/>
      <c r="CX354" s="307"/>
      <c r="CY354" s="307"/>
      <c r="CZ354" s="307"/>
      <c r="DA354" s="307"/>
      <c r="DB354" s="307"/>
      <c r="DC354" s="307"/>
      <c r="DD354" s="307"/>
      <c r="DE354" s="307"/>
      <c r="DF354" s="307"/>
      <c r="DG354" s="307"/>
      <c r="DH354" s="307"/>
      <c r="DI354" s="307"/>
      <c r="DJ354" s="307"/>
      <c r="DK354" s="307"/>
      <c r="DL354" s="307"/>
      <c r="DM354" s="307"/>
      <c r="DN354" s="307"/>
      <c r="DO354" s="307"/>
      <c r="DP354" s="307"/>
      <c r="DQ354" s="307"/>
      <c r="DR354" s="307"/>
    </row>
    <row r="355" spans="7:122" s="306" customFormat="1" ht="11.75" customHeight="1" x14ac:dyDescent="0.15"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  <c r="Z355" s="307"/>
      <c r="AA355" s="307"/>
      <c r="AB355" s="307"/>
      <c r="AC355" s="307"/>
      <c r="AD355" s="307"/>
      <c r="AE355" s="307"/>
      <c r="BA355" s="307"/>
      <c r="BB355" s="307"/>
      <c r="BC355" s="307"/>
      <c r="BD355" s="307"/>
      <c r="BE355" s="307"/>
      <c r="BF355" s="307"/>
      <c r="BG355" s="307"/>
      <c r="BH355" s="307"/>
      <c r="BI355" s="307"/>
      <c r="BJ355" s="307"/>
      <c r="BK355" s="307"/>
      <c r="BL355" s="307"/>
      <c r="BM355" s="307"/>
      <c r="BN355" s="307"/>
      <c r="BO355" s="307"/>
      <c r="BP355" s="307"/>
      <c r="BQ355" s="307"/>
      <c r="BR355" s="307"/>
      <c r="BS355" s="307"/>
      <c r="BT355" s="307"/>
      <c r="BU355" s="307"/>
      <c r="BV355" s="307"/>
      <c r="BW355" s="307"/>
      <c r="BX355" s="307"/>
      <c r="BY355" s="307"/>
      <c r="BZ355" s="307"/>
      <c r="CA355" s="307"/>
      <c r="CB355" s="314"/>
      <c r="CC355" s="314"/>
      <c r="CD355" s="314"/>
      <c r="CE355" s="307"/>
      <c r="CF355" s="314"/>
      <c r="CG355" s="314"/>
      <c r="CH355" s="314"/>
      <c r="CI355" s="314"/>
      <c r="CJ355" s="314"/>
      <c r="CK355" s="314"/>
      <c r="CL355" s="314"/>
      <c r="CM355" s="314"/>
      <c r="CN355" s="314"/>
      <c r="CO355" s="314"/>
      <c r="CP355" s="314"/>
      <c r="CQ355" s="307"/>
      <c r="CR355" s="314"/>
      <c r="CS355" s="314"/>
      <c r="CT355" s="314"/>
      <c r="CU355" s="314"/>
      <c r="CV355" s="314"/>
      <c r="CW355" s="307"/>
      <c r="CX355" s="314"/>
      <c r="CY355" s="314"/>
      <c r="CZ355" s="314"/>
      <c r="DA355" s="314"/>
      <c r="DB355" s="314"/>
      <c r="DC355" s="307"/>
      <c r="DD355" s="314"/>
      <c r="DE355" s="314"/>
      <c r="DF355" s="314"/>
      <c r="DG355" s="314"/>
      <c r="DH355" s="314"/>
      <c r="DI355" s="314"/>
      <c r="DJ355" s="314"/>
      <c r="DK355" s="314"/>
      <c r="DL355" s="314"/>
      <c r="DM355" s="314"/>
      <c r="DN355" s="314"/>
      <c r="DO355" s="314"/>
      <c r="DP355" s="314"/>
      <c r="DQ355" s="314"/>
      <c r="DR355" s="307"/>
    </row>
    <row r="356" spans="7:122" s="306" customFormat="1" ht="11.75" customHeight="1" x14ac:dyDescent="0.15"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  <c r="Z356" s="307"/>
      <c r="AA356" s="307"/>
      <c r="AB356" s="307"/>
      <c r="AC356" s="307"/>
      <c r="AD356" s="307"/>
      <c r="AE356" s="307"/>
      <c r="BA356" s="307"/>
      <c r="BB356" s="307"/>
      <c r="BC356" s="307"/>
      <c r="BD356" s="307"/>
      <c r="BE356" s="307"/>
      <c r="BF356" s="307"/>
      <c r="BG356" s="307"/>
      <c r="BH356" s="307"/>
      <c r="BI356" s="307"/>
      <c r="BJ356" s="307"/>
      <c r="BK356" s="307"/>
      <c r="BL356" s="307"/>
      <c r="BM356" s="307"/>
      <c r="BN356" s="307"/>
      <c r="BO356" s="307"/>
      <c r="BP356" s="307"/>
      <c r="BQ356" s="307"/>
      <c r="BR356" s="307"/>
      <c r="BS356" s="307"/>
      <c r="BT356" s="307"/>
      <c r="BU356" s="307"/>
      <c r="BV356" s="307"/>
      <c r="BW356" s="307"/>
      <c r="BX356" s="307"/>
      <c r="BY356" s="307"/>
      <c r="BZ356" s="307"/>
      <c r="CA356" s="307"/>
      <c r="CB356" s="307"/>
      <c r="CC356" s="307"/>
      <c r="CD356" s="307"/>
      <c r="CE356" s="307"/>
      <c r="CF356" s="307"/>
      <c r="CG356" s="307"/>
      <c r="CH356" s="307"/>
      <c r="CI356" s="307"/>
      <c r="CJ356" s="307"/>
      <c r="CK356" s="307"/>
      <c r="CL356" s="307"/>
      <c r="CM356" s="307"/>
      <c r="CN356" s="307"/>
      <c r="CO356" s="307"/>
      <c r="CP356" s="307"/>
      <c r="CQ356" s="307"/>
      <c r="CR356" s="307"/>
      <c r="CS356" s="307"/>
      <c r="CT356" s="307"/>
      <c r="CU356" s="307"/>
      <c r="CV356" s="307"/>
      <c r="CW356" s="307"/>
      <c r="CX356" s="307"/>
      <c r="CY356" s="307"/>
      <c r="CZ356" s="307"/>
      <c r="DA356" s="307"/>
      <c r="DB356" s="307"/>
      <c r="DC356" s="307"/>
      <c r="DD356" s="307"/>
      <c r="DE356" s="307"/>
      <c r="DF356" s="307"/>
      <c r="DG356" s="307"/>
      <c r="DH356" s="307"/>
      <c r="DI356" s="307"/>
      <c r="DJ356" s="307"/>
      <c r="DK356" s="307"/>
      <c r="DL356" s="307"/>
      <c r="DM356" s="307"/>
      <c r="DN356" s="307"/>
      <c r="DO356" s="307"/>
      <c r="DP356" s="307"/>
      <c r="DQ356" s="307"/>
      <c r="DR356" s="307"/>
    </row>
    <row r="357" spans="7:122" s="306" customFormat="1" ht="11.75" customHeight="1" x14ac:dyDescent="0.15"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  <c r="Z357" s="307"/>
      <c r="AA357" s="307"/>
      <c r="AB357" s="307"/>
      <c r="AC357" s="307"/>
      <c r="AD357" s="307"/>
      <c r="AE357" s="307"/>
      <c r="BA357" s="307"/>
      <c r="BB357" s="307"/>
      <c r="BC357" s="307"/>
      <c r="BD357" s="307"/>
      <c r="BE357" s="307"/>
      <c r="BF357" s="307"/>
      <c r="BG357" s="307"/>
      <c r="BH357" s="307"/>
      <c r="BI357" s="307"/>
      <c r="BJ357" s="307"/>
      <c r="BK357" s="307"/>
      <c r="BL357" s="307"/>
      <c r="BM357" s="307"/>
      <c r="BN357" s="307"/>
      <c r="BO357" s="307"/>
      <c r="BP357" s="307"/>
      <c r="BQ357" s="307"/>
      <c r="BR357" s="307"/>
      <c r="BS357" s="307"/>
      <c r="BT357" s="307"/>
      <c r="BU357" s="307"/>
      <c r="BV357" s="307"/>
      <c r="BW357" s="307"/>
      <c r="BX357" s="307"/>
      <c r="BY357" s="307"/>
      <c r="BZ357" s="307"/>
      <c r="CA357" s="307"/>
      <c r="CB357" s="310"/>
      <c r="CC357" s="310"/>
      <c r="CD357" s="310"/>
      <c r="CE357" s="307"/>
      <c r="CF357" s="310"/>
      <c r="CG357" s="310"/>
      <c r="CH357" s="310"/>
      <c r="CI357" s="310"/>
      <c r="CJ357" s="310"/>
      <c r="CK357" s="307"/>
      <c r="CL357" s="310"/>
      <c r="CM357" s="310"/>
      <c r="CN357" s="310"/>
      <c r="CO357" s="310"/>
      <c r="CP357" s="310"/>
      <c r="CQ357" s="307"/>
      <c r="CR357" s="310"/>
      <c r="CS357" s="310"/>
      <c r="CT357" s="310"/>
      <c r="CU357" s="310"/>
      <c r="CV357" s="310"/>
      <c r="CW357" s="307"/>
      <c r="CX357" s="310"/>
      <c r="CY357" s="310"/>
      <c r="CZ357" s="310"/>
      <c r="DA357" s="310"/>
      <c r="DB357" s="310"/>
      <c r="DC357" s="307"/>
      <c r="DD357" s="310"/>
      <c r="DE357" s="310"/>
      <c r="DF357" s="310"/>
      <c r="DG357" s="310"/>
      <c r="DH357" s="310"/>
      <c r="DI357" s="307"/>
      <c r="DJ357" s="310"/>
      <c r="DK357" s="310"/>
      <c r="DL357" s="310"/>
      <c r="DM357" s="310"/>
      <c r="DN357" s="310"/>
      <c r="DO357" s="310"/>
      <c r="DP357" s="310"/>
      <c r="DQ357" s="310"/>
      <c r="DR357" s="307"/>
    </row>
    <row r="358" spans="7:122" s="306" customFormat="1" ht="11.75" customHeight="1" x14ac:dyDescent="0.15"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  <c r="Z358" s="307"/>
      <c r="AA358" s="307"/>
      <c r="AB358" s="307"/>
      <c r="AC358" s="307"/>
      <c r="AD358" s="307"/>
      <c r="AE358" s="307"/>
      <c r="BA358" s="307"/>
      <c r="BB358" s="307"/>
      <c r="BC358" s="307"/>
      <c r="BD358" s="307"/>
      <c r="BE358" s="307"/>
      <c r="BF358" s="307"/>
      <c r="BG358" s="307"/>
      <c r="BH358" s="307"/>
      <c r="BI358" s="307"/>
      <c r="BJ358" s="307"/>
      <c r="BK358" s="307"/>
      <c r="BL358" s="307"/>
      <c r="BM358" s="307"/>
      <c r="BN358" s="307"/>
      <c r="BO358" s="307"/>
      <c r="BP358" s="307"/>
      <c r="BQ358" s="307"/>
      <c r="BR358" s="307"/>
      <c r="BS358" s="307"/>
      <c r="BT358" s="307"/>
      <c r="BU358" s="307"/>
      <c r="BV358" s="307"/>
      <c r="BW358" s="307"/>
      <c r="BX358" s="307"/>
      <c r="BY358" s="307"/>
      <c r="BZ358" s="307"/>
      <c r="CA358" s="307"/>
      <c r="CB358" s="307"/>
      <c r="CC358" s="307"/>
      <c r="CD358" s="307"/>
      <c r="CE358" s="307"/>
      <c r="CF358" s="307"/>
      <c r="CG358" s="307"/>
      <c r="CH358" s="307"/>
      <c r="CI358" s="307"/>
      <c r="CJ358" s="307"/>
      <c r="CK358" s="307"/>
      <c r="CL358" s="307"/>
      <c r="CM358" s="307"/>
      <c r="CN358" s="307"/>
      <c r="CO358" s="307"/>
      <c r="CP358" s="307"/>
      <c r="CQ358" s="307"/>
      <c r="CR358" s="307"/>
      <c r="CS358" s="307"/>
      <c r="CT358" s="307"/>
      <c r="CU358" s="307"/>
      <c r="CV358" s="307"/>
      <c r="CW358" s="307"/>
      <c r="CX358" s="307"/>
      <c r="CY358" s="307"/>
      <c r="CZ358" s="307"/>
      <c r="DA358" s="307"/>
      <c r="DB358" s="307"/>
      <c r="DC358" s="307"/>
      <c r="DD358" s="307"/>
      <c r="DE358" s="307"/>
      <c r="DF358" s="307"/>
      <c r="DG358" s="307"/>
      <c r="DH358" s="307"/>
      <c r="DI358" s="307"/>
      <c r="DJ358" s="307"/>
      <c r="DK358" s="307"/>
      <c r="DL358" s="307"/>
      <c r="DM358" s="307"/>
      <c r="DN358" s="307"/>
      <c r="DO358" s="307"/>
      <c r="DP358" s="307"/>
      <c r="DQ358" s="307"/>
      <c r="DR358" s="307"/>
    </row>
    <row r="359" spans="7:122" s="306" customFormat="1" ht="11.75" customHeight="1" x14ac:dyDescent="0.15"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  <c r="Z359" s="307"/>
      <c r="AA359" s="307"/>
      <c r="AB359" s="307"/>
      <c r="AC359" s="307"/>
      <c r="AD359" s="307"/>
      <c r="AE359" s="307"/>
      <c r="BA359" s="307"/>
      <c r="BB359" s="307"/>
      <c r="BC359" s="307"/>
      <c r="BD359" s="307"/>
      <c r="BE359" s="307"/>
      <c r="BF359" s="307"/>
      <c r="BG359" s="307"/>
      <c r="BH359" s="307"/>
      <c r="BI359" s="307"/>
      <c r="BJ359" s="307"/>
      <c r="BK359" s="307"/>
      <c r="BL359" s="307"/>
      <c r="BM359" s="307"/>
      <c r="BN359" s="307"/>
      <c r="BO359" s="307"/>
      <c r="BP359" s="307"/>
      <c r="BQ359" s="307"/>
      <c r="BR359" s="307"/>
      <c r="BS359" s="307"/>
      <c r="BT359" s="307"/>
      <c r="BU359" s="307"/>
      <c r="BV359" s="307"/>
      <c r="BW359" s="307"/>
      <c r="BX359" s="307"/>
      <c r="BY359" s="307"/>
      <c r="BZ359" s="307"/>
      <c r="CA359" s="307"/>
      <c r="CB359" s="307"/>
      <c r="CC359" s="307"/>
      <c r="CD359" s="307"/>
      <c r="CE359" s="307"/>
      <c r="CF359" s="307"/>
      <c r="CG359" s="307"/>
      <c r="CH359" s="307"/>
      <c r="CI359" s="307"/>
      <c r="CJ359" s="307"/>
      <c r="CK359" s="307"/>
      <c r="CL359" s="307"/>
      <c r="CM359" s="307"/>
      <c r="CN359" s="307"/>
      <c r="CO359" s="307"/>
      <c r="CP359" s="307"/>
      <c r="CQ359" s="307"/>
      <c r="CR359" s="307"/>
      <c r="CS359" s="307"/>
      <c r="CT359" s="307"/>
      <c r="CU359" s="307"/>
      <c r="CV359" s="307"/>
      <c r="CW359" s="307"/>
      <c r="CX359" s="307"/>
      <c r="CY359" s="307"/>
      <c r="CZ359" s="307"/>
      <c r="DA359" s="307"/>
      <c r="DB359" s="307"/>
      <c r="DC359" s="307"/>
      <c r="DD359" s="307"/>
      <c r="DE359" s="307"/>
      <c r="DF359" s="307"/>
      <c r="DG359" s="307"/>
      <c r="DH359" s="307"/>
      <c r="DI359" s="307"/>
      <c r="DJ359" s="307"/>
      <c r="DK359" s="307"/>
      <c r="DL359" s="307"/>
      <c r="DM359" s="307"/>
      <c r="DN359" s="307"/>
      <c r="DO359" s="307"/>
      <c r="DP359" s="307"/>
      <c r="DQ359" s="307"/>
      <c r="DR359" s="307"/>
    </row>
    <row r="360" spans="7:122" s="306" customFormat="1" ht="11.75" customHeight="1" x14ac:dyDescent="0.15"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  <c r="Z360" s="307"/>
      <c r="AA360" s="307"/>
      <c r="AB360" s="307"/>
      <c r="AC360" s="307"/>
      <c r="AD360" s="307"/>
      <c r="AE360" s="307"/>
      <c r="BA360" s="307"/>
      <c r="BB360" s="307"/>
      <c r="BC360" s="307"/>
      <c r="BD360" s="307"/>
      <c r="BE360" s="307"/>
      <c r="BF360" s="307"/>
      <c r="BG360" s="307"/>
      <c r="BH360" s="307"/>
      <c r="BI360" s="307"/>
      <c r="BJ360" s="307"/>
      <c r="BK360" s="307"/>
      <c r="BL360" s="307"/>
      <c r="BM360" s="307"/>
      <c r="BN360" s="307"/>
      <c r="BO360" s="307"/>
      <c r="BP360" s="307"/>
      <c r="BQ360" s="307"/>
      <c r="BR360" s="307"/>
      <c r="BS360" s="307"/>
      <c r="BT360" s="307"/>
      <c r="BU360" s="307"/>
      <c r="BV360" s="307"/>
      <c r="BW360" s="307"/>
      <c r="BX360" s="307"/>
      <c r="BY360" s="307"/>
      <c r="BZ360" s="307"/>
      <c r="CA360" s="307"/>
      <c r="CB360" s="307"/>
      <c r="CC360" s="307"/>
      <c r="CD360" s="307"/>
      <c r="CE360" s="307"/>
      <c r="CF360" s="307"/>
      <c r="CG360" s="307"/>
      <c r="CH360" s="307"/>
      <c r="CI360" s="307"/>
      <c r="CJ360" s="307"/>
      <c r="CK360" s="307"/>
      <c r="CL360" s="307"/>
      <c r="CM360" s="307"/>
      <c r="CN360" s="307"/>
      <c r="CO360" s="307"/>
      <c r="CP360" s="307"/>
      <c r="CQ360" s="307"/>
      <c r="CR360" s="307"/>
      <c r="CS360" s="307"/>
      <c r="CT360" s="307"/>
      <c r="CU360" s="307"/>
      <c r="CV360" s="307"/>
      <c r="CW360" s="307"/>
      <c r="CX360" s="307"/>
      <c r="CY360" s="307"/>
      <c r="CZ360" s="307"/>
      <c r="DA360" s="307"/>
      <c r="DB360" s="307"/>
      <c r="DC360" s="307"/>
      <c r="DD360" s="307"/>
      <c r="DE360" s="307"/>
      <c r="DF360" s="307"/>
      <c r="DG360" s="307"/>
      <c r="DH360" s="307"/>
      <c r="DI360" s="307"/>
      <c r="DJ360" s="307"/>
      <c r="DK360" s="307"/>
      <c r="DL360" s="307"/>
      <c r="DM360" s="307"/>
      <c r="DN360" s="307"/>
      <c r="DO360" s="307"/>
      <c r="DP360" s="307"/>
      <c r="DQ360" s="307"/>
      <c r="DR360" s="307"/>
    </row>
    <row r="361" spans="7:122" s="306" customFormat="1" ht="11.75" customHeight="1" x14ac:dyDescent="0.15"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  <c r="Z361" s="307"/>
      <c r="AA361" s="307"/>
      <c r="AB361" s="307"/>
      <c r="AC361" s="307"/>
      <c r="AD361" s="307"/>
      <c r="AE361" s="307"/>
      <c r="BA361" s="307"/>
      <c r="BB361" s="307"/>
      <c r="BC361" s="307"/>
      <c r="BD361" s="307"/>
      <c r="BE361" s="307"/>
      <c r="BF361" s="307"/>
      <c r="BG361" s="307"/>
      <c r="BH361" s="307"/>
      <c r="BI361" s="307"/>
      <c r="BJ361" s="307"/>
      <c r="BK361" s="307"/>
      <c r="BL361" s="307"/>
      <c r="BM361" s="307"/>
      <c r="BN361" s="307"/>
      <c r="BO361" s="307"/>
      <c r="BP361" s="307"/>
      <c r="BQ361" s="307"/>
      <c r="BR361" s="307"/>
      <c r="BS361" s="307"/>
      <c r="BT361" s="307"/>
      <c r="BU361" s="307"/>
      <c r="BV361" s="307"/>
      <c r="BW361" s="307"/>
      <c r="BX361" s="307"/>
      <c r="BY361" s="307"/>
      <c r="BZ361" s="307"/>
      <c r="CA361" s="307"/>
      <c r="CB361" s="307"/>
      <c r="CC361" s="307"/>
      <c r="CD361" s="307"/>
      <c r="CE361" s="307"/>
      <c r="CF361" s="307"/>
      <c r="CG361" s="307"/>
      <c r="CH361" s="307"/>
      <c r="CI361" s="307"/>
      <c r="CJ361" s="307"/>
      <c r="CK361" s="307"/>
      <c r="CL361" s="307"/>
      <c r="CM361" s="307"/>
      <c r="CN361" s="307"/>
      <c r="CO361" s="307"/>
      <c r="CP361" s="307"/>
      <c r="CQ361" s="307"/>
      <c r="CR361" s="307"/>
      <c r="CS361" s="307"/>
      <c r="CT361" s="307"/>
      <c r="CU361" s="307"/>
      <c r="CV361" s="307"/>
      <c r="CW361" s="307"/>
      <c r="CX361" s="307"/>
      <c r="CY361" s="307"/>
      <c r="CZ361" s="307"/>
      <c r="DA361" s="307"/>
      <c r="DB361" s="307"/>
      <c r="DC361" s="307"/>
      <c r="DD361" s="307"/>
      <c r="DE361" s="307"/>
      <c r="DF361" s="307"/>
      <c r="DG361" s="307"/>
      <c r="DH361" s="307"/>
      <c r="DI361" s="307"/>
      <c r="DJ361" s="307"/>
      <c r="DK361" s="307"/>
      <c r="DL361" s="307"/>
      <c r="DM361" s="307"/>
      <c r="DN361" s="307"/>
      <c r="DO361" s="307"/>
      <c r="DP361" s="307"/>
      <c r="DQ361" s="307"/>
      <c r="DR361" s="307"/>
    </row>
    <row r="362" spans="7:122" s="306" customFormat="1" ht="11.75" customHeight="1" x14ac:dyDescent="0.15"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  <c r="Z362" s="307"/>
      <c r="AA362" s="307"/>
      <c r="AB362" s="307"/>
      <c r="AC362" s="307"/>
      <c r="AD362" s="307"/>
      <c r="AE362" s="307"/>
      <c r="BA362" s="307"/>
      <c r="BB362" s="307"/>
      <c r="BC362" s="307"/>
      <c r="BD362" s="307"/>
      <c r="BE362" s="307"/>
      <c r="BF362" s="307"/>
      <c r="BG362" s="307"/>
      <c r="BH362" s="307"/>
      <c r="BI362" s="307"/>
      <c r="BJ362" s="307"/>
      <c r="BK362" s="307"/>
      <c r="BL362" s="307"/>
      <c r="BM362" s="307"/>
      <c r="BN362" s="307"/>
      <c r="BO362" s="307"/>
      <c r="BP362" s="307"/>
      <c r="BQ362" s="307"/>
      <c r="BR362" s="307"/>
      <c r="BS362" s="307"/>
      <c r="BT362" s="307"/>
      <c r="BU362" s="307"/>
      <c r="BV362" s="307"/>
      <c r="BW362" s="307"/>
      <c r="BX362" s="307"/>
      <c r="BY362" s="307"/>
      <c r="BZ362" s="307"/>
      <c r="CA362" s="307"/>
      <c r="CB362" s="307"/>
      <c r="CC362" s="307"/>
      <c r="CD362" s="307"/>
      <c r="CE362" s="307"/>
      <c r="CF362" s="307"/>
      <c r="CG362" s="307"/>
      <c r="CH362" s="307"/>
      <c r="CI362" s="307"/>
      <c r="CJ362" s="307"/>
      <c r="CK362" s="307"/>
      <c r="CL362" s="307"/>
      <c r="CM362" s="307"/>
      <c r="CN362" s="307"/>
      <c r="CO362" s="307"/>
      <c r="CP362" s="307"/>
      <c r="CQ362" s="307"/>
      <c r="CR362" s="307"/>
      <c r="CS362" s="307"/>
      <c r="CT362" s="307"/>
      <c r="CU362" s="307"/>
      <c r="CV362" s="307"/>
      <c r="CW362" s="307"/>
      <c r="CX362" s="307"/>
      <c r="CY362" s="307"/>
      <c r="CZ362" s="307"/>
      <c r="DA362" s="307"/>
      <c r="DB362" s="307"/>
      <c r="DC362" s="307"/>
      <c r="DD362" s="307"/>
      <c r="DE362" s="307"/>
      <c r="DF362" s="307"/>
      <c r="DG362" s="307"/>
      <c r="DH362" s="307"/>
      <c r="DI362" s="307"/>
      <c r="DJ362" s="307"/>
      <c r="DK362" s="307"/>
      <c r="DL362" s="307"/>
      <c r="DM362" s="307"/>
      <c r="DN362" s="307"/>
      <c r="DO362" s="307"/>
      <c r="DP362" s="307"/>
      <c r="DQ362" s="307"/>
      <c r="DR362" s="307"/>
    </row>
    <row r="363" spans="7:122" s="306" customFormat="1" ht="11.75" customHeight="1" x14ac:dyDescent="0.15"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  <c r="Z363" s="307"/>
      <c r="AA363" s="307"/>
      <c r="AB363" s="307"/>
      <c r="AC363" s="307"/>
      <c r="AD363" s="307"/>
      <c r="AE363" s="307"/>
      <c r="BA363" s="307"/>
      <c r="BB363" s="307"/>
      <c r="BC363" s="307"/>
      <c r="BD363" s="307"/>
      <c r="BE363" s="307"/>
      <c r="BF363" s="307"/>
      <c r="BG363" s="307"/>
      <c r="BH363" s="307"/>
      <c r="BI363" s="307"/>
      <c r="BJ363" s="307"/>
      <c r="BK363" s="307"/>
      <c r="BL363" s="307"/>
      <c r="BM363" s="307"/>
      <c r="BN363" s="307"/>
      <c r="BO363" s="307"/>
      <c r="BP363" s="307"/>
      <c r="BQ363" s="307"/>
      <c r="BR363" s="307"/>
      <c r="BS363" s="307"/>
      <c r="BT363" s="307"/>
      <c r="BU363" s="307"/>
      <c r="BV363" s="307"/>
      <c r="BW363" s="307"/>
      <c r="BX363" s="307"/>
      <c r="BY363" s="307"/>
      <c r="BZ363" s="307"/>
      <c r="CA363" s="307"/>
      <c r="CB363" s="307"/>
      <c r="CC363" s="307"/>
      <c r="CD363" s="307"/>
      <c r="CE363" s="307"/>
      <c r="CF363" s="307"/>
      <c r="CG363" s="307"/>
      <c r="CH363" s="307"/>
      <c r="CI363" s="307"/>
      <c r="CJ363" s="307"/>
      <c r="CK363" s="307"/>
      <c r="CL363" s="307"/>
      <c r="CM363" s="307"/>
      <c r="CN363" s="307"/>
      <c r="CO363" s="307"/>
      <c r="CP363" s="307"/>
      <c r="CQ363" s="307"/>
      <c r="CR363" s="307"/>
      <c r="CS363" s="307"/>
      <c r="CT363" s="307"/>
      <c r="CU363" s="307"/>
      <c r="CV363" s="307"/>
      <c r="CW363" s="307"/>
      <c r="CX363" s="307"/>
      <c r="CY363" s="307"/>
      <c r="CZ363" s="307"/>
      <c r="DA363" s="307"/>
      <c r="DB363" s="307"/>
      <c r="DC363" s="307"/>
      <c r="DD363" s="307"/>
      <c r="DE363" s="307"/>
      <c r="DF363" s="307"/>
      <c r="DG363" s="307"/>
      <c r="DH363" s="307"/>
      <c r="DI363" s="307"/>
      <c r="DJ363" s="307"/>
      <c r="DK363" s="307"/>
      <c r="DL363" s="307"/>
      <c r="DM363" s="307"/>
      <c r="DN363" s="307"/>
      <c r="DO363" s="307"/>
      <c r="DP363" s="307"/>
      <c r="DQ363" s="307"/>
      <c r="DR363" s="307"/>
    </row>
    <row r="364" spans="7:122" s="306" customFormat="1" ht="11.75" customHeight="1" x14ac:dyDescent="0.15"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  <c r="Z364" s="307"/>
      <c r="AA364" s="307"/>
      <c r="AB364" s="307"/>
      <c r="AC364" s="307"/>
      <c r="AD364" s="307"/>
      <c r="AE364" s="307"/>
      <c r="BA364" s="307"/>
      <c r="BB364" s="307"/>
      <c r="BC364" s="307"/>
      <c r="BD364" s="307"/>
      <c r="BE364" s="307"/>
      <c r="BF364" s="307"/>
      <c r="BG364" s="307"/>
      <c r="BH364" s="307"/>
      <c r="BI364" s="307"/>
      <c r="BJ364" s="307"/>
      <c r="BK364" s="307"/>
      <c r="BL364" s="307"/>
      <c r="BM364" s="307"/>
      <c r="BN364" s="307"/>
      <c r="BO364" s="307"/>
      <c r="BP364" s="307"/>
      <c r="BQ364" s="307"/>
      <c r="BR364" s="307"/>
      <c r="BS364" s="307"/>
      <c r="BT364" s="307"/>
      <c r="BU364" s="307"/>
      <c r="BV364" s="307"/>
      <c r="BW364" s="307"/>
      <c r="BX364" s="307"/>
      <c r="BY364" s="307"/>
      <c r="BZ364" s="307"/>
      <c r="CA364" s="307"/>
      <c r="CB364" s="307"/>
      <c r="CC364" s="307"/>
      <c r="CD364" s="307"/>
      <c r="CE364" s="307"/>
      <c r="CF364" s="307"/>
      <c r="CG364" s="307"/>
      <c r="CH364" s="307"/>
      <c r="CI364" s="307"/>
      <c r="CJ364" s="307"/>
      <c r="CK364" s="307"/>
      <c r="CL364" s="307"/>
      <c r="CM364" s="307"/>
      <c r="CN364" s="307"/>
      <c r="CO364" s="307"/>
      <c r="CP364" s="307"/>
      <c r="CQ364" s="307"/>
      <c r="CR364" s="307"/>
      <c r="CS364" s="307"/>
      <c r="CT364" s="307"/>
      <c r="CU364" s="307"/>
      <c r="CV364" s="307"/>
      <c r="CW364" s="307"/>
      <c r="CX364" s="307"/>
      <c r="CY364" s="307"/>
      <c r="CZ364" s="307"/>
      <c r="DA364" s="307"/>
      <c r="DB364" s="307"/>
      <c r="DC364" s="307"/>
      <c r="DD364" s="307"/>
      <c r="DE364" s="307"/>
      <c r="DF364" s="307"/>
      <c r="DG364" s="307"/>
      <c r="DH364" s="307"/>
      <c r="DI364" s="307"/>
      <c r="DJ364" s="307"/>
      <c r="DK364" s="307"/>
      <c r="DL364" s="307"/>
      <c r="DM364" s="307"/>
      <c r="DN364" s="307"/>
      <c r="DO364" s="307"/>
      <c r="DP364" s="307"/>
      <c r="DQ364" s="307"/>
      <c r="DR364" s="307"/>
    </row>
    <row r="365" spans="7:122" s="306" customFormat="1" ht="11.75" customHeight="1" x14ac:dyDescent="0.15"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  <c r="Z365" s="307"/>
      <c r="AA365" s="307"/>
      <c r="AB365" s="307"/>
      <c r="AC365" s="307"/>
      <c r="AD365" s="307"/>
      <c r="AE365" s="307"/>
      <c r="BA365" s="307"/>
      <c r="BB365" s="307"/>
      <c r="BC365" s="307"/>
      <c r="BD365" s="307"/>
      <c r="BE365" s="307"/>
      <c r="BF365" s="307"/>
      <c r="BG365" s="307"/>
      <c r="BH365" s="307"/>
      <c r="BI365" s="307"/>
      <c r="BJ365" s="307"/>
      <c r="BK365" s="307"/>
      <c r="BL365" s="307"/>
      <c r="BM365" s="307"/>
      <c r="BN365" s="307"/>
      <c r="BO365" s="307"/>
      <c r="BP365" s="307"/>
      <c r="BQ365" s="307"/>
      <c r="BR365" s="307"/>
      <c r="BS365" s="307"/>
      <c r="BT365" s="307"/>
      <c r="BU365" s="307"/>
      <c r="BV365" s="307"/>
      <c r="BW365" s="307"/>
      <c r="BX365" s="307"/>
      <c r="BY365" s="307"/>
      <c r="BZ365" s="307"/>
      <c r="CA365" s="307"/>
      <c r="CB365" s="307"/>
      <c r="CC365" s="307"/>
      <c r="CD365" s="307"/>
      <c r="CE365" s="307"/>
      <c r="CF365" s="307"/>
      <c r="CG365" s="307"/>
      <c r="CH365" s="307"/>
      <c r="CI365" s="307"/>
      <c r="CJ365" s="307"/>
      <c r="CK365" s="307"/>
      <c r="CL365" s="307"/>
      <c r="CM365" s="307"/>
      <c r="CN365" s="307"/>
      <c r="CO365" s="307"/>
      <c r="CP365" s="307"/>
      <c r="CQ365" s="307"/>
      <c r="CR365" s="307"/>
      <c r="CS365" s="307"/>
      <c r="CT365" s="307"/>
      <c r="CU365" s="307"/>
      <c r="CV365" s="307"/>
      <c r="CW365" s="307"/>
      <c r="CX365" s="307"/>
      <c r="CY365" s="307"/>
      <c r="CZ365" s="307"/>
      <c r="DA365" s="307"/>
      <c r="DB365" s="307"/>
      <c r="DC365" s="307"/>
      <c r="DD365" s="307"/>
      <c r="DE365" s="307"/>
      <c r="DF365" s="307"/>
      <c r="DG365" s="307"/>
      <c r="DH365" s="307"/>
      <c r="DI365" s="307"/>
      <c r="DJ365" s="307"/>
      <c r="DK365" s="307"/>
      <c r="DL365" s="307"/>
      <c r="DM365" s="307"/>
      <c r="DN365" s="307"/>
      <c r="DO365" s="307"/>
      <c r="DP365" s="307"/>
      <c r="DQ365" s="307"/>
      <c r="DR365" s="307"/>
    </row>
    <row r="366" spans="7:122" s="306" customFormat="1" ht="11.75" customHeight="1" x14ac:dyDescent="0.15"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  <c r="Z366" s="307"/>
      <c r="AA366" s="307"/>
      <c r="AB366" s="307"/>
      <c r="AC366" s="307"/>
      <c r="AD366" s="307"/>
      <c r="AE366" s="307"/>
      <c r="BA366" s="307"/>
      <c r="BB366" s="307"/>
      <c r="BC366" s="307"/>
      <c r="BD366" s="307"/>
      <c r="BE366" s="307"/>
      <c r="BF366" s="307"/>
      <c r="BG366" s="307"/>
      <c r="BH366" s="307"/>
      <c r="BI366" s="307"/>
      <c r="BJ366" s="307"/>
      <c r="BK366" s="307"/>
      <c r="BL366" s="307"/>
      <c r="BM366" s="307"/>
      <c r="BN366" s="307"/>
      <c r="BO366" s="307"/>
      <c r="BP366" s="307"/>
      <c r="BQ366" s="307"/>
      <c r="BR366" s="307"/>
      <c r="BS366" s="307"/>
      <c r="BT366" s="307"/>
      <c r="BU366" s="307"/>
      <c r="BV366" s="307"/>
      <c r="BW366" s="307"/>
      <c r="BX366" s="307"/>
      <c r="BY366" s="307"/>
      <c r="BZ366" s="307"/>
      <c r="CA366" s="307"/>
      <c r="CB366" s="307"/>
      <c r="CC366" s="307"/>
      <c r="CD366" s="307"/>
      <c r="CE366" s="307"/>
      <c r="CF366" s="307"/>
      <c r="CG366" s="307"/>
      <c r="CH366" s="307"/>
      <c r="CI366" s="307"/>
      <c r="CJ366" s="307"/>
      <c r="CK366" s="307"/>
      <c r="CL366" s="307"/>
      <c r="CM366" s="307"/>
      <c r="CN366" s="307"/>
      <c r="CO366" s="307"/>
      <c r="CP366" s="307"/>
      <c r="CQ366" s="307"/>
      <c r="CR366" s="307"/>
      <c r="CS366" s="307"/>
      <c r="CT366" s="307"/>
      <c r="CU366" s="307"/>
      <c r="CV366" s="307"/>
      <c r="CW366" s="307"/>
      <c r="CX366" s="307"/>
      <c r="CY366" s="307"/>
      <c r="CZ366" s="307"/>
      <c r="DA366" s="307"/>
      <c r="DB366" s="307"/>
      <c r="DC366" s="307"/>
      <c r="DD366" s="307"/>
      <c r="DE366" s="307"/>
      <c r="DF366" s="307"/>
      <c r="DG366" s="307"/>
      <c r="DH366" s="307"/>
      <c r="DI366" s="307"/>
      <c r="DJ366" s="307"/>
      <c r="DK366" s="307"/>
      <c r="DL366" s="307"/>
      <c r="DM366" s="307"/>
      <c r="DN366" s="307"/>
      <c r="DO366" s="307"/>
      <c r="DP366" s="307"/>
      <c r="DQ366" s="307"/>
      <c r="DR366" s="307"/>
    </row>
    <row r="367" spans="7:122" s="306" customFormat="1" ht="11.75" customHeight="1" x14ac:dyDescent="0.15"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  <c r="Z367" s="307"/>
      <c r="AA367" s="307"/>
      <c r="AB367" s="307"/>
      <c r="AC367" s="307"/>
      <c r="AD367" s="307"/>
      <c r="AE367" s="307"/>
      <c r="BA367" s="307"/>
      <c r="BB367" s="307"/>
      <c r="BC367" s="307"/>
      <c r="BD367" s="307"/>
      <c r="BE367" s="307"/>
      <c r="BF367" s="307"/>
      <c r="BG367" s="307"/>
      <c r="BH367" s="307"/>
      <c r="BI367" s="307"/>
      <c r="BJ367" s="307"/>
      <c r="BK367" s="307"/>
      <c r="BL367" s="307"/>
      <c r="BM367" s="307"/>
      <c r="BN367" s="307"/>
      <c r="BO367" s="307"/>
      <c r="BP367" s="307"/>
      <c r="BQ367" s="307"/>
      <c r="BR367" s="307"/>
      <c r="BS367" s="307"/>
      <c r="BT367" s="307"/>
      <c r="BU367" s="307"/>
      <c r="BV367" s="307"/>
      <c r="BW367" s="307"/>
      <c r="BX367" s="307"/>
      <c r="BY367" s="307"/>
      <c r="BZ367" s="307"/>
      <c r="CA367" s="307"/>
      <c r="CB367" s="307"/>
      <c r="CC367" s="307"/>
      <c r="CD367" s="307"/>
      <c r="CE367" s="307"/>
      <c r="CF367" s="307"/>
      <c r="CG367" s="307"/>
      <c r="CH367" s="307"/>
      <c r="CI367" s="307"/>
      <c r="CJ367" s="307"/>
      <c r="CK367" s="307"/>
      <c r="CL367" s="307"/>
      <c r="CM367" s="307"/>
      <c r="CN367" s="307"/>
      <c r="CO367" s="307"/>
      <c r="CP367" s="307"/>
      <c r="CQ367" s="307"/>
      <c r="CR367" s="307"/>
      <c r="CS367" s="307"/>
      <c r="CT367" s="307"/>
      <c r="CU367" s="307"/>
      <c r="CV367" s="307"/>
      <c r="CW367" s="307"/>
      <c r="CX367" s="307"/>
      <c r="CY367" s="307"/>
      <c r="CZ367" s="307"/>
      <c r="DA367" s="307"/>
      <c r="DB367" s="307"/>
      <c r="DC367" s="307"/>
      <c r="DD367" s="307"/>
      <c r="DE367" s="307"/>
      <c r="DF367" s="307"/>
      <c r="DG367" s="307"/>
      <c r="DH367" s="307"/>
      <c r="DI367" s="307"/>
      <c r="DJ367" s="307"/>
      <c r="DK367" s="307"/>
      <c r="DL367" s="307"/>
      <c r="DM367" s="307"/>
      <c r="DN367" s="307"/>
      <c r="DO367" s="307"/>
      <c r="DP367" s="307"/>
      <c r="DQ367" s="307"/>
      <c r="DR367" s="307"/>
    </row>
    <row r="368" spans="7:122" s="306" customFormat="1" ht="11.75" customHeight="1" x14ac:dyDescent="0.15"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  <c r="Z368" s="307"/>
      <c r="AA368" s="307"/>
      <c r="AB368" s="307"/>
      <c r="AC368" s="307"/>
      <c r="AD368" s="307"/>
      <c r="AE368" s="307"/>
      <c r="BA368" s="307"/>
      <c r="BB368" s="307"/>
      <c r="BC368" s="307"/>
      <c r="BD368" s="307"/>
      <c r="BE368" s="307"/>
      <c r="BF368" s="307"/>
      <c r="BG368" s="307"/>
      <c r="BH368" s="307"/>
      <c r="BI368" s="307"/>
      <c r="BJ368" s="307"/>
      <c r="BK368" s="307"/>
      <c r="BL368" s="307"/>
      <c r="BM368" s="307"/>
      <c r="BN368" s="307"/>
      <c r="BO368" s="307"/>
      <c r="BP368" s="307"/>
      <c r="BQ368" s="307"/>
      <c r="BR368" s="307"/>
      <c r="BS368" s="307"/>
      <c r="BT368" s="307"/>
      <c r="BU368" s="307"/>
      <c r="BV368" s="307"/>
      <c r="BW368" s="307"/>
      <c r="BX368" s="307"/>
      <c r="BY368" s="307"/>
      <c r="BZ368" s="307"/>
      <c r="CA368" s="307"/>
      <c r="CB368" s="307"/>
      <c r="CC368" s="307"/>
      <c r="CD368" s="307"/>
      <c r="CE368" s="307"/>
      <c r="CF368" s="307"/>
      <c r="CG368" s="307"/>
      <c r="CH368" s="307"/>
      <c r="CI368" s="307"/>
      <c r="CJ368" s="307"/>
      <c r="CK368" s="307"/>
      <c r="CL368" s="307"/>
      <c r="CM368" s="307"/>
      <c r="CN368" s="307"/>
      <c r="CO368" s="307"/>
      <c r="CP368" s="307"/>
      <c r="CQ368" s="307"/>
      <c r="CR368" s="307"/>
      <c r="CS368" s="307"/>
      <c r="CT368" s="307"/>
      <c r="CU368" s="307"/>
      <c r="CV368" s="307"/>
      <c r="CW368" s="307"/>
      <c r="CX368" s="307"/>
      <c r="CY368" s="307"/>
      <c r="CZ368" s="307"/>
      <c r="DA368" s="307"/>
      <c r="DB368" s="307"/>
      <c r="DC368" s="307"/>
      <c r="DD368" s="307"/>
      <c r="DE368" s="307"/>
      <c r="DF368" s="307"/>
      <c r="DG368" s="307"/>
      <c r="DH368" s="307"/>
      <c r="DI368" s="307"/>
      <c r="DJ368" s="307"/>
      <c r="DK368" s="307"/>
      <c r="DL368" s="307"/>
      <c r="DM368" s="307"/>
      <c r="DN368" s="307"/>
      <c r="DO368" s="307"/>
      <c r="DP368" s="307"/>
      <c r="DQ368" s="307"/>
      <c r="DR368" s="307"/>
    </row>
    <row r="369" spans="1:122" s="306" customFormat="1" ht="11.75" customHeight="1" x14ac:dyDescent="0.15"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  <c r="Z369" s="307"/>
      <c r="AA369" s="307"/>
      <c r="AB369" s="307"/>
      <c r="AC369" s="307"/>
      <c r="AD369" s="307"/>
      <c r="AE369" s="307"/>
      <c r="BX369" s="307"/>
      <c r="BY369" s="307"/>
      <c r="BZ369" s="307"/>
      <c r="CA369" s="307"/>
      <c r="CB369" s="307"/>
      <c r="CC369" s="307"/>
      <c r="CD369" s="307"/>
      <c r="CE369" s="307"/>
      <c r="CF369" s="307"/>
      <c r="CG369" s="307"/>
      <c r="CH369" s="307"/>
      <c r="CI369" s="307"/>
      <c r="CJ369" s="307"/>
      <c r="CK369" s="307"/>
      <c r="CL369" s="307"/>
      <c r="CM369" s="307"/>
      <c r="CN369" s="307"/>
      <c r="CO369" s="307"/>
      <c r="CP369" s="307"/>
      <c r="CQ369" s="307"/>
      <c r="CR369" s="307"/>
      <c r="CS369" s="307"/>
      <c r="CT369" s="307"/>
      <c r="CU369" s="307"/>
      <c r="CV369" s="307"/>
      <c r="CW369" s="307"/>
      <c r="CX369" s="307"/>
      <c r="CY369" s="307"/>
      <c r="CZ369" s="307"/>
      <c r="DA369" s="307"/>
      <c r="DB369" s="307"/>
      <c r="DC369" s="307"/>
      <c r="DD369" s="307"/>
      <c r="DE369" s="307"/>
      <c r="DF369" s="307"/>
      <c r="DG369" s="307"/>
      <c r="DH369" s="307"/>
      <c r="DI369" s="307"/>
      <c r="DJ369" s="307"/>
      <c r="DK369" s="307"/>
      <c r="DL369" s="307"/>
      <c r="DM369" s="307"/>
      <c r="DN369" s="307"/>
      <c r="DO369" s="307"/>
      <c r="DP369" s="307"/>
      <c r="DQ369" s="307"/>
      <c r="DR369" s="307"/>
    </row>
    <row r="370" spans="1:122" s="306" customFormat="1" ht="11.75" customHeight="1" x14ac:dyDescent="0.15"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  <c r="Z370" s="307"/>
      <c r="AA370" s="307"/>
      <c r="AB370" s="307"/>
      <c r="AC370" s="307"/>
      <c r="AD370" s="307"/>
      <c r="AE370" s="307"/>
      <c r="BX370" s="307"/>
      <c r="BY370" s="307"/>
      <c r="BZ370" s="307"/>
      <c r="CA370" s="307"/>
      <c r="CB370" s="307"/>
      <c r="CC370" s="307"/>
      <c r="CD370" s="307"/>
      <c r="CE370" s="307"/>
      <c r="CF370" s="307"/>
      <c r="CG370" s="307"/>
      <c r="CH370" s="307"/>
      <c r="CI370" s="307"/>
      <c r="CJ370" s="307"/>
      <c r="CK370" s="307"/>
      <c r="CL370" s="307"/>
      <c r="CM370" s="307"/>
      <c r="CN370" s="307"/>
      <c r="CO370" s="307"/>
      <c r="CP370" s="307"/>
      <c r="CQ370" s="307"/>
      <c r="CR370" s="307"/>
      <c r="CS370" s="307"/>
      <c r="CT370" s="307"/>
      <c r="CU370" s="307"/>
      <c r="CV370" s="307"/>
      <c r="CW370" s="307"/>
      <c r="CX370" s="307"/>
      <c r="CY370" s="307"/>
      <c r="CZ370" s="307"/>
      <c r="DA370" s="307"/>
      <c r="DB370" s="307"/>
      <c r="DC370" s="307"/>
      <c r="DD370" s="307"/>
      <c r="DE370" s="307"/>
      <c r="DF370" s="307"/>
      <c r="DG370" s="307"/>
      <c r="DH370" s="307"/>
      <c r="DI370" s="307"/>
      <c r="DJ370" s="307"/>
      <c r="DK370" s="307"/>
      <c r="DL370" s="307"/>
      <c r="DM370" s="307"/>
      <c r="DN370" s="307"/>
      <c r="DO370" s="307"/>
      <c r="DP370" s="307"/>
      <c r="DQ370" s="307"/>
      <c r="DR370" s="307"/>
    </row>
    <row r="371" spans="1:122" s="306" customFormat="1" ht="11.75" customHeight="1" x14ac:dyDescent="0.15">
      <c r="A371" s="315"/>
      <c r="C371" s="315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16"/>
      <c r="Y371" s="307"/>
      <c r="Z371" s="307"/>
      <c r="AA371" s="307"/>
      <c r="AB371" s="307"/>
      <c r="AC371" s="307"/>
      <c r="AD371" s="307"/>
      <c r="AE371" s="307"/>
      <c r="BX371" s="307"/>
      <c r="BY371" s="307"/>
      <c r="BZ371" s="307"/>
      <c r="CA371" s="307"/>
      <c r="CB371" s="307"/>
      <c r="CC371" s="307"/>
      <c r="CD371" s="307"/>
      <c r="CE371" s="307"/>
      <c r="CF371" s="307"/>
      <c r="CG371" s="307"/>
      <c r="CH371" s="307"/>
      <c r="CI371" s="307"/>
      <c r="CJ371" s="307"/>
      <c r="CK371" s="307"/>
      <c r="CL371" s="307"/>
      <c r="CM371" s="307"/>
      <c r="CN371" s="307"/>
      <c r="CO371" s="307"/>
      <c r="CP371" s="307"/>
      <c r="CQ371" s="307"/>
      <c r="CR371" s="307"/>
      <c r="CS371" s="307"/>
      <c r="CT371" s="307"/>
      <c r="CU371" s="307"/>
      <c r="CV371" s="307"/>
      <c r="CW371" s="307"/>
      <c r="CX371" s="307"/>
      <c r="CY371" s="307"/>
      <c r="CZ371" s="307"/>
      <c r="DA371" s="307"/>
      <c r="DB371" s="307"/>
      <c r="DC371" s="307"/>
      <c r="DD371" s="307"/>
      <c r="DE371" s="307"/>
      <c r="DF371" s="307"/>
      <c r="DG371" s="307"/>
      <c r="DH371" s="307"/>
      <c r="DI371" s="307"/>
      <c r="DJ371" s="307"/>
      <c r="DK371" s="307"/>
      <c r="DL371" s="307"/>
      <c r="DM371" s="307"/>
      <c r="DN371" s="307"/>
      <c r="DO371" s="307"/>
      <c r="DP371" s="307"/>
      <c r="DQ371" s="307"/>
      <c r="DR371" s="307"/>
    </row>
    <row r="372" spans="1:122" s="306" customFormat="1" ht="11.75" customHeight="1" x14ac:dyDescent="0.15"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  <c r="Z372" s="307"/>
      <c r="AA372" s="307"/>
      <c r="AB372" s="307"/>
      <c r="AC372" s="307"/>
      <c r="AD372" s="307"/>
      <c r="AE372" s="307"/>
      <c r="BX372" s="307"/>
      <c r="BY372" s="307"/>
      <c r="BZ372" s="307"/>
      <c r="CA372" s="307"/>
      <c r="CB372" s="307"/>
      <c r="CC372" s="307"/>
      <c r="CD372" s="307"/>
      <c r="CE372" s="307"/>
      <c r="CF372" s="307"/>
      <c r="CG372" s="307"/>
      <c r="CH372" s="307"/>
      <c r="CI372" s="307"/>
      <c r="CJ372" s="307"/>
      <c r="CK372" s="307"/>
      <c r="CL372" s="307"/>
      <c r="CM372" s="307"/>
      <c r="CN372" s="307"/>
      <c r="CO372" s="307"/>
      <c r="CP372" s="307"/>
      <c r="CQ372" s="307"/>
      <c r="CR372" s="307"/>
      <c r="CS372" s="307"/>
      <c r="CT372" s="307"/>
      <c r="CU372" s="307"/>
      <c r="CV372" s="307"/>
      <c r="CW372" s="307"/>
      <c r="CX372" s="307"/>
      <c r="CY372" s="307"/>
      <c r="CZ372" s="307"/>
      <c r="DA372" s="307"/>
      <c r="DB372" s="307"/>
      <c r="DC372" s="307"/>
      <c r="DD372" s="307"/>
      <c r="DE372" s="307"/>
      <c r="DF372" s="307"/>
      <c r="DG372" s="307"/>
      <c r="DH372" s="307"/>
      <c r="DI372" s="307"/>
      <c r="DJ372" s="307"/>
      <c r="DK372" s="307"/>
      <c r="DL372" s="307"/>
      <c r="DM372" s="307"/>
      <c r="DN372" s="307"/>
      <c r="DO372" s="307"/>
      <c r="DP372" s="307"/>
      <c r="DQ372" s="307"/>
      <c r="DR372" s="307"/>
    </row>
    <row r="373" spans="1:122" s="306" customFormat="1" ht="11.75" customHeight="1" x14ac:dyDescent="0.15"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  <c r="Z373" s="307"/>
      <c r="AA373" s="307"/>
      <c r="AB373" s="307"/>
      <c r="AC373" s="307"/>
      <c r="AD373" s="307"/>
      <c r="AE373" s="307"/>
      <c r="BX373" s="307"/>
      <c r="BY373" s="307"/>
      <c r="BZ373" s="307"/>
      <c r="CA373" s="307"/>
      <c r="CB373" s="307"/>
      <c r="CC373" s="307"/>
      <c r="CD373" s="307"/>
      <c r="CE373" s="307"/>
      <c r="CF373" s="307"/>
      <c r="CG373" s="307"/>
      <c r="CH373" s="307"/>
      <c r="CI373" s="307"/>
      <c r="CJ373" s="307"/>
      <c r="CK373" s="307"/>
      <c r="CL373" s="307"/>
      <c r="CM373" s="307"/>
      <c r="CN373" s="307"/>
      <c r="CO373" s="307"/>
      <c r="CP373" s="307"/>
      <c r="CQ373" s="307"/>
      <c r="CR373" s="307"/>
      <c r="CS373" s="307"/>
      <c r="CT373" s="307"/>
      <c r="CU373" s="307"/>
      <c r="CV373" s="307"/>
      <c r="CW373" s="307"/>
      <c r="CX373" s="307"/>
      <c r="CY373" s="307"/>
      <c r="CZ373" s="307"/>
      <c r="DA373" s="307"/>
      <c r="DB373" s="307"/>
      <c r="DC373" s="307"/>
      <c r="DD373" s="307"/>
      <c r="DE373" s="307"/>
      <c r="DF373" s="307"/>
      <c r="DG373" s="307"/>
      <c r="DH373" s="307"/>
      <c r="DI373" s="307"/>
      <c r="DJ373" s="307"/>
      <c r="DK373" s="307"/>
      <c r="DL373" s="307"/>
      <c r="DM373" s="307"/>
      <c r="DN373" s="307"/>
      <c r="DO373" s="307"/>
      <c r="DP373" s="307"/>
      <c r="DQ373" s="307"/>
      <c r="DR373" s="307"/>
    </row>
    <row r="374" spans="1:122" s="306" customFormat="1" ht="11.75" customHeight="1" x14ac:dyDescent="0.15"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  <c r="Z374" s="307"/>
      <c r="AA374" s="307"/>
      <c r="AB374" s="307"/>
      <c r="AC374" s="307"/>
      <c r="AD374" s="307"/>
      <c r="AE374" s="307"/>
      <c r="BX374" s="307"/>
      <c r="BY374" s="307"/>
      <c r="BZ374" s="307"/>
      <c r="CA374" s="307"/>
      <c r="CB374" s="307"/>
      <c r="CC374" s="307"/>
      <c r="CD374" s="307"/>
      <c r="CE374" s="307"/>
      <c r="CF374" s="307"/>
      <c r="CG374" s="307"/>
      <c r="CH374" s="307"/>
      <c r="CI374" s="307"/>
      <c r="CJ374" s="307"/>
      <c r="CK374" s="307"/>
      <c r="CL374" s="307"/>
      <c r="CM374" s="307"/>
      <c r="CN374" s="307"/>
      <c r="CO374" s="307"/>
      <c r="CP374" s="307"/>
      <c r="CQ374" s="307"/>
      <c r="CR374" s="307"/>
      <c r="CS374" s="307"/>
      <c r="CT374" s="307"/>
      <c r="CU374" s="307"/>
      <c r="CV374" s="307"/>
      <c r="CW374" s="307"/>
      <c r="CX374" s="307"/>
      <c r="CY374" s="307"/>
      <c r="CZ374" s="307"/>
      <c r="DA374" s="307"/>
      <c r="DB374" s="307"/>
      <c r="DC374" s="307"/>
      <c r="DD374" s="307"/>
      <c r="DE374" s="307"/>
      <c r="DF374" s="307"/>
      <c r="DG374" s="307"/>
      <c r="DH374" s="307"/>
      <c r="DI374" s="307"/>
      <c r="DJ374" s="307"/>
      <c r="DK374" s="307"/>
      <c r="DL374" s="307"/>
      <c r="DM374" s="307"/>
      <c r="DN374" s="307"/>
      <c r="DO374" s="307"/>
      <c r="DP374" s="307"/>
      <c r="DQ374" s="307"/>
      <c r="DR374" s="307"/>
    </row>
    <row r="375" spans="1:122" s="306" customFormat="1" ht="11.75" customHeight="1" x14ac:dyDescent="0.15">
      <c r="C375" s="31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  <c r="Z375" s="307"/>
      <c r="AA375" s="307"/>
      <c r="AB375" s="307"/>
      <c r="AC375" s="307"/>
      <c r="AD375" s="307"/>
      <c r="AE375" s="307"/>
      <c r="BX375" s="307"/>
      <c r="BY375" s="307"/>
      <c r="BZ375" s="307"/>
      <c r="CA375" s="307"/>
      <c r="CB375" s="307"/>
      <c r="CC375" s="307"/>
      <c r="CD375" s="307"/>
      <c r="CE375" s="307"/>
      <c r="CF375" s="307"/>
      <c r="CG375" s="307"/>
      <c r="CH375" s="307"/>
      <c r="CI375" s="307"/>
      <c r="CJ375" s="307"/>
      <c r="CK375" s="307"/>
      <c r="CL375" s="307"/>
      <c r="CM375" s="307"/>
      <c r="CN375" s="307"/>
      <c r="CO375" s="307"/>
      <c r="CP375" s="307"/>
      <c r="CQ375" s="307"/>
      <c r="CR375" s="307"/>
      <c r="CS375" s="307"/>
      <c r="CT375" s="307"/>
      <c r="CU375" s="307"/>
      <c r="CV375" s="307"/>
      <c r="CW375" s="307"/>
      <c r="CX375" s="307"/>
      <c r="CY375" s="307"/>
      <c r="CZ375" s="307"/>
      <c r="DA375" s="307"/>
      <c r="DB375" s="307"/>
      <c r="DC375" s="307"/>
      <c r="DD375" s="307"/>
      <c r="DE375" s="307"/>
      <c r="DF375" s="307"/>
      <c r="DG375" s="307"/>
      <c r="DH375" s="307"/>
      <c r="DI375" s="307"/>
      <c r="DJ375" s="307"/>
      <c r="DK375" s="307"/>
      <c r="DL375" s="307"/>
      <c r="DM375" s="307"/>
      <c r="DN375" s="307"/>
      <c r="DO375" s="307"/>
      <c r="DP375" s="307"/>
      <c r="DQ375" s="307"/>
      <c r="DR375" s="307"/>
    </row>
    <row r="376" spans="1:122" s="306" customFormat="1" ht="11.75" customHeight="1" x14ac:dyDescent="0.15">
      <c r="C376" s="31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  <c r="Z376" s="307"/>
      <c r="AA376" s="307"/>
      <c r="AB376" s="307"/>
      <c r="AC376" s="307"/>
      <c r="AD376" s="307"/>
      <c r="AE376" s="307"/>
      <c r="BX376" s="307"/>
      <c r="BY376" s="307"/>
      <c r="BZ376" s="307"/>
      <c r="CA376" s="307"/>
      <c r="CB376" s="307"/>
      <c r="CC376" s="307"/>
      <c r="CD376" s="307"/>
      <c r="CE376" s="307"/>
      <c r="CF376" s="307"/>
      <c r="CG376" s="307"/>
      <c r="CH376" s="307"/>
      <c r="CI376" s="307"/>
      <c r="CJ376" s="307"/>
      <c r="CK376" s="307"/>
      <c r="CL376" s="307"/>
      <c r="CM376" s="307"/>
      <c r="CN376" s="307"/>
      <c r="CO376" s="307"/>
      <c r="CP376" s="307"/>
      <c r="CQ376" s="307"/>
      <c r="CR376" s="307"/>
      <c r="CS376" s="307"/>
      <c r="CT376" s="307"/>
      <c r="CU376" s="307"/>
      <c r="CV376" s="307"/>
      <c r="CW376" s="307"/>
      <c r="CX376" s="307"/>
      <c r="CY376" s="307"/>
      <c r="CZ376" s="307"/>
      <c r="DA376" s="307"/>
      <c r="DB376" s="307"/>
      <c r="DC376" s="307"/>
      <c r="DD376" s="307"/>
      <c r="DE376" s="307"/>
      <c r="DF376" s="307"/>
      <c r="DG376" s="307"/>
      <c r="DH376" s="307"/>
      <c r="DI376" s="307"/>
      <c r="DJ376" s="307"/>
      <c r="DK376" s="307"/>
      <c r="DL376" s="307"/>
      <c r="DM376" s="307"/>
      <c r="DN376" s="307"/>
      <c r="DO376" s="307"/>
      <c r="DP376" s="307"/>
      <c r="DQ376" s="307"/>
      <c r="DR376" s="307"/>
    </row>
    <row r="377" spans="1:122" s="306" customFormat="1" ht="11.75" customHeight="1" x14ac:dyDescent="0.15">
      <c r="C377" s="308"/>
      <c r="D377" s="308"/>
      <c r="E377" s="308"/>
      <c r="F377" s="308"/>
      <c r="G377" s="308"/>
      <c r="H377" s="308"/>
      <c r="I377" s="308"/>
      <c r="J377" s="308"/>
      <c r="K377" s="308"/>
      <c r="L377" s="308"/>
      <c r="M377" s="308"/>
      <c r="N377" s="308"/>
      <c r="O377" s="308"/>
      <c r="P377" s="308"/>
      <c r="Q377" s="308"/>
      <c r="R377" s="308"/>
      <c r="S377" s="308"/>
      <c r="T377" s="308"/>
      <c r="U377" s="308"/>
      <c r="V377" s="308"/>
      <c r="W377" s="308"/>
      <c r="X377" s="308"/>
      <c r="Y377" s="308"/>
      <c r="Z377" s="308"/>
      <c r="AA377" s="308"/>
      <c r="AB377" s="308"/>
      <c r="AC377" s="308"/>
      <c r="AD377" s="308"/>
      <c r="AE377" s="308"/>
    </row>
    <row r="378" spans="1:122" s="306" customFormat="1" ht="11.75" customHeight="1" x14ac:dyDescent="0.15">
      <c r="C378" s="308"/>
      <c r="D378" s="308"/>
      <c r="E378" s="308"/>
      <c r="F378" s="308"/>
      <c r="G378" s="308"/>
      <c r="H378" s="308"/>
      <c r="I378" s="308"/>
      <c r="J378" s="308"/>
      <c r="K378" s="308"/>
      <c r="L378" s="308"/>
      <c r="M378" s="308"/>
      <c r="N378" s="308"/>
      <c r="O378" s="308"/>
      <c r="P378" s="308"/>
      <c r="Q378" s="308"/>
      <c r="R378" s="308"/>
      <c r="S378" s="308"/>
      <c r="T378" s="308"/>
      <c r="U378" s="308"/>
      <c r="V378" s="308"/>
      <c r="W378" s="308"/>
      <c r="X378" s="308"/>
      <c r="Y378" s="308"/>
      <c r="Z378" s="308"/>
      <c r="AA378" s="308"/>
      <c r="AB378" s="308"/>
      <c r="AC378" s="308"/>
      <c r="AD378" s="308"/>
      <c r="AE378" s="308"/>
    </row>
    <row r="379" spans="1:122" s="306" customFormat="1" ht="11.75" customHeight="1" x14ac:dyDescent="0.15">
      <c r="C379" s="308"/>
      <c r="D379" s="308"/>
      <c r="E379" s="308"/>
      <c r="F379" s="308"/>
      <c r="G379" s="308"/>
      <c r="H379" s="308"/>
      <c r="I379" s="308"/>
      <c r="J379" s="308"/>
      <c r="K379" s="308"/>
      <c r="L379" s="308"/>
      <c r="M379" s="308"/>
      <c r="N379" s="308"/>
      <c r="O379" s="308"/>
      <c r="P379" s="308"/>
      <c r="Q379" s="308"/>
      <c r="R379" s="308"/>
      <c r="S379" s="308"/>
      <c r="T379" s="308"/>
      <c r="U379" s="308"/>
      <c r="V379" s="308"/>
      <c r="W379" s="308"/>
      <c r="X379" s="308"/>
      <c r="Y379" s="308"/>
      <c r="Z379" s="308"/>
      <c r="AA379" s="308"/>
      <c r="AB379" s="308"/>
      <c r="AC379" s="308"/>
      <c r="AD379" s="308"/>
      <c r="AE379" s="308"/>
    </row>
    <row r="380" spans="1:122" s="306" customFormat="1" ht="11.75" customHeight="1" x14ac:dyDescent="0.15">
      <c r="C380" s="318"/>
      <c r="D380" s="318"/>
      <c r="E380" s="307"/>
      <c r="F380" s="307"/>
      <c r="G380" s="307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  <c r="R380" s="310"/>
      <c r="S380" s="310"/>
      <c r="T380" s="310"/>
      <c r="U380" s="310"/>
      <c r="V380" s="310"/>
      <c r="W380" s="310"/>
      <c r="X380" s="310"/>
      <c r="Y380" s="310"/>
      <c r="Z380" s="310"/>
      <c r="AA380" s="310"/>
      <c r="AB380" s="310"/>
      <c r="AC380" s="310"/>
      <c r="AD380" s="310"/>
      <c r="AE380" s="310"/>
    </row>
    <row r="381" spans="1:122" s="306" customFormat="1" ht="11.75" customHeight="1" x14ac:dyDescent="0.15">
      <c r="C381" s="319"/>
      <c r="D381" s="319"/>
      <c r="E381" s="319"/>
      <c r="F381" s="319"/>
      <c r="G381" s="319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  <c r="R381" s="310"/>
      <c r="S381" s="310"/>
      <c r="T381" s="310"/>
      <c r="U381" s="310"/>
      <c r="V381" s="310"/>
      <c r="W381" s="310"/>
      <c r="X381" s="310"/>
      <c r="Y381" s="310"/>
      <c r="Z381" s="310"/>
      <c r="AA381" s="310"/>
      <c r="AB381" s="310"/>
      <c r="AC381" s="310"/>
      <c r="AD381" s="310"/>
      <c r="AE381" s="310"/>
    </row>
    <row r="382" spans="1:122" s="306" customFormat="1" ht="11.75" customHeight="1" x14ac:dyDescent="0.15">
      <c r="G382" s="307"/>
      <c r="H382" s="320"/>
      <c r="I382" s="320"/>
      <c r="J382" s="320"/>
      <c r="K382" s="320"/>
      <c r="L382" s="320"/>
      <c r="M382" s="320"/>
      <c r="N382" s="320"/>
      <c r="O382" s="320"/>
      <c r="P382" s="320"/>
      <c r="Q382" s="320"/>
      <c r="R382" s="320"/>
      <c r="S382" s="320"/>
      <c r="T382" s="320"/>
      <c r="U382" s="320"/>
      <c r="V382" s="320"/>
      <c r="W382" s="320"/>
      <c r="X382" s="320"/>
      <c r="Y382" s="320"/>
      <c r="Z382" s="320"/>
      <c r="AA382" s="320"/>
      <c r="AB382" s="320"/>
      <c r="AC382" s="320"/>
      <c r="AD382" s="320"/>
      <c r="AE382" s="320"/>
    </row>
    <row r="383" spans="1:122" s="306" customFormat="1" ht="11.75" customHeight="1" x14ac:dyDescent="0.15">
      <c r="G383" s="307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  <c r="R383" s="310"/>
      <c r="S383" s="310"/>
      <c r="T383" s="310"/>
      <c r="U383" s="310"/>
      <c r="V383" s="310"/>
      <c r="W383" s="310"/>
      <c r="X383" s="310"/>
      <c r="Y383" s="310"/>
      <c r="Z383" s="310"/>
      <c r="AA383" s="310"/>
      <c r="AB383" s="310"/>
      <c r="AC383" s="310"/>
      <c r="AD383" s="310"/>
      <c r="AE383" s="310"/>
    </row>
    <row r="384" spans="1:122" s="306" customFormat="1" ht="11.75" customHeight="1" x14ac:dyDescent="0.15">
      <c r="G384" s="307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  <c r="R384" s="310"/>
      <c r="S384" s="310"/>
      <c r="T384" s="310"/>
      <c r="U384" s="310"/>
      <c r="V384" s="310"/>
      <c r="W384" s="310"/>
      <c r="X384" s="310"/>
      <c r="Y384" s="310"/>
      <c r="Z384" s="310"/>
      <c r="AA384" s="310"/>
      <c r="AB384" s="310"/>
      <c r="AC384" s="310"/>
      <c r="AD384" s="310"/>
      <c r="AE384" s="310"/>
    </row>
    <row r="385" spans="3:34" s="306" customFormat="1" ht="11.75" customHeight="1" x14ac:dyDescent="0.15">
      <c r="G385" s="307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  <c r="R385" s="310"/>
      <c r="S385" s="310"/>
      <c r="T385" s="310"/>
      <c r="U385" s="310"/>
      <c r="V385" s="310"/>
      <c r="W385" s="310"/>
      <c r="X385" s="310"/>
      <c r="Y385" s="310"/>
      <c r="Z385" s="310"/>
      <c r="AA385" s="310"/>
      <c r="AB385" s="310"/>
      <c r="AC385" s="310"/>
      <c r="AD385" s="310"/>
      <c r="AE385" s="310"/>
    </row>
    <row r="386" spans="3:34" s="306" customFormat="1" ht="11.75" customHeight="1" x14ac:dyDescent="0.15">
      <c r="C386" s="308"/>
      <c r="D386" s="308"/>
      <c r="E386" s="308"/>
      <c r="F386" s="308"/>
      <c r="G386" s="307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  <c r="R386" s="310"/>
      <c r="S386" s="310"/>
      <c r="T386" s="310"/>
      <c r="U386" s="310"/>
      <c r="V386" s="310"/>
      <c r="W386" s="310"/>
      <c r="X386" s="310"/>
      <c r="Y386" s="310"/>
      <c r="Z386" s="310"/>
      <c r="AA386" s="310"/>
      <c r="AB386" s="310"/>
      <c r="AC386" s="310"/>
      <c r="AD386" s="310"/>
      <c r="AE386" s="310"/>
    </row>
    <row r="387" spans="3:34" s="306" customFormat="1" ht="11.75" customHeight="1" x14ac:dyDescent="0.15">
      <c r="G387" s="307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  <c r="R387" s="310"/>
      <c r="S387" s="310"/>
      <c r="T387" s="310"/>
      <c r="U387" s="310"/>
      <c r="V387" s="310"/>
      <c r="W387" s="310"/>
      <c r="X387" s="310"/>
      <c r="Y387" s="310"/>
      <c r="Z387" s="310"/>
      <c r="AA387" s="310"/>
      <c r="AB387" s="310"/>
      <c r="AC387" s="310"/>
      <c r="AD387" s="310"/>
      <c r="AE387" s="310"/>
    </row>
    <row r="388" spans="3:34" s="306" customFormat="1" ht="11.75" customHeight="1" x14ac:dyDescent="0.15">
      <c r="G388" s="307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  <c r="R388" s="310"/>
      <c r="S388" s="310"/>
      <c r="T388" s="310"/>
      <c r="U388" s="310"/>
      <c r="V388" s="310"/>
      <c r="W388" s="310"/>
      <c r="X388" s="310"/>
      <c r="Y388" s="310"/>
      <c r="Z388" s="310"/>
      <c r="AA388" s="310"/>
      <c r="AB388" s="310"/>
      <c r="AC388" s="310"/>
      <c r="AD388" s="310"/>
      <c r="AE388" s="310"/>
    </row>
    <row r="389" spans="3:34" s="306" customFormat="1" ht="11.75" customHeight="1" x14ac:dyDescent="0.15">
      <c r="G389" s="307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  <c r="R389" s="310"/>
      <c r="S389" s="310"/>
      <c r="T389" s="310"/>
      <c r="U389" s="310"/>
      <c r="V389" s="310"/>
      <c r="W389" s="310"/>
      <c r="X389" s="310"/>
      <c r="Y389" s="310"/>
      <c r="Z389" s="310"/>
      <c r="AA389" s="310"/>
      <c r="AB389" s="310"/>
      <c r="AC389" s="310"/>
      <c r="AD389" s="310"/>
      <c r="AE389" s="310"/>
    </row>
    <row r="390" spans="3:34" s="306" customFormat="1" ht="11.75" customHeight="1" x14ac:dyDescent="0.15">
      <c r="G390" s="307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  <c r="R390" s="310"/>
      <c r="S390" s="310"/>
      <c r="T390" s="310"/>
      <c r="U390" s="310"/>
      <c r="V390" s="310"/>
      <c r="W390" s="310"/>
      <c r="X390" s="310"/>
      <c r="Y390" s="310"/>
      <c r="Z390" s="310"/>
      <c r="AA390" s="310"/>
      <c r="AB390" s="310"/>
      <c r="AC390" s="310"/>
      <c r="AD390" s="310"/>
      <c r="AE390" s="310"/>
    </row>
    <row r="391" spans="3:34" s="306" customFormat="1" ht="11.75" customHeight="1" x14ac:dyDescent="0.15">
      <c r="G391" s="307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  <c r="R391" s="310"/>
      <c r="S391" s="310"/>
      <c r="T391" s="310"/>
      <c r="U391" s="310"/>
      <c r="V391" s="310"/>
      <c r="W391" s="310"/>
      <c r="X391" s="310"/>
      <c r="Y391" s="310"/>
      <c r="Z391" s="310"/>
      <c r="AA391" s="310"/>
      <c r="AB391" s="310"/>
      <c r="AC391" s="310"/>
      <c r="AD391" s="310"/>
      <c r="AE391" s="310"/>
    </row>
    <row r="392" spans="3:34" s="306" customFormat="1" ht="11.75" customHeight="1" x14ac:dyDescent="0.15">
      <c r="G392" s="307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  <c r="R392" s="310"/>
      <c r="S392" s="310"/>
      <c r="T392" s="310"/>
      <c r="U392" s="310"/>
      <c r="V392" s="310"/>
      <c r="W392" s="310"/>
      <c r="X392" s="310"/>
      <c r="Y392" s="310"/>
      <c r="Z392" s="310"/>
      <c r="AA392" s="310"/>
      <c r="AB392" s="310"/>
      <c r="AC392" s="310"/>
      <c r="AD392" s="310"/>
      <c r="AE392" s="310"/>
    </row>
    <row r="393" spans="3:34" s="306" customFormat="1" ht="11.75" customHeight="1" x14ac:dyDescent="0.15">
      <c r="G393" s="307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  <c r="R393" s="310"/>
      <c r="S393" s="310"/>
      <c r="T393" s="310"/>
      <c r="U393" s="310"/>
      <c r="V393" s="310"/>
      <c r="W393" s="310"/>
      <c r="X393" s="310"/>
      <c r="Y393" s="310"/>
      <c r="Z393" s="310"/>
      <c r="AA393" s="310"/>
      <c r="AB393" s="310"/>
      <c r="AC393" s="310"/>
      <c r="AD393" s="310"/>
      <c r="AE393" s="310"/>
    </row>
    <row r="394" spans="3:34" s="306" customFormat="1" ht="11.75" customHeight="1" x14ac:dyDescent="0.15">
      <c r="G394" s="307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  <c r="R394" s="310"/>
      <c r="S394" s="310"/>
      <c r="T394" s="310"/>
      <c r="U394" s="310"/>
      <c r="V394" s="310"/>
      <c r="W394" s="310"/>
      <c r="X394" s="310"/>
      <c r="Y394" s="310"/>
      <c r="Z394" s="310"/>
      <c r="AA394" s="310"/>
      <c r="AB394" s="310"/>
      <c r="AC394" s="310"/>
      <c r="AD394" s="310"/>
      <c r="AE394" s="310"/>
    </row>
    <row r="395" spans="3:34" s="306" customFormat="1" ht="11.75" customHeight="1" x14ac:dyDescent="0.15">
      <c r="C395" s="321"/>
      <c r="D395" s="321"/>
      <c r="E395" s="321"/>
      <c r="F395" s="321"/>
      <c r="G395" s="307"/>
      <c r="H395" s="316"/>
      <c r="I395" s="322"/>
      <c r="J395" s="322"/>
      <c r="K395" s="307"/>
      <c r="L395" s="322"/>
      <c r="M395" s="322"/>
      <c r="N395" s="307"/>
      <c r="O395" s="322"/>
      <c r="P395" s="322"/>
      <c r="Q395" s="307"/>
      <c r="R395" s="322"/>
      <c r="S395" s="322"/>
      <c r="T395" s="307"/>
      <c r="U395" s="322"/>
      <c r="V395" s="322"/>
      <c r="W395" s="307"/>
      <c r="X395" s="322"/>
      <c r="Y395" s="322"/>
      <c r="Z395" s="307"/>
      <c r="AA395" s="322"/>
      <c r="AB395" s="322"/>
      <c r="AC395" s="307"/>
      <c r="AD395" s="322"/>
      <c r="AE395" s="322"/>
      <c r="AH395" s="315"/>
    </row>
    <row r="396" spans="3:34" s="306" customFormat="1" ht="11.75" customHeight="1" x14ac:dyDescent="0.15">
      <c r="G396" s="307"/>
      <c r="H396" s="316"/>
      <c r="I396" s="322"/>
      <c r="J396" s="322"/>
      <c r="K396" s="307"/>
      <c r="L396" s="322"/>
      <c r="M396" s="322"/>
      <c r="N396" s="307"/>
      <c r="O396" s="322"/>
      <c r="P396" s="322"/>
      <c r="Q396" s="307"/>
      <c r="R396" s="322"/>
      <c r="S396" s="322"/>
      <c r="T396" s="307"/>
      <c r="U396" s="322"/>
      <c r="V396" s="322"/>
      <c r="W396" s="307"/>
      <c r="X396" s="322"/>
      <c r="Y396" s="322"/>
      <c r="Z396" s="307"/>
      <c r="AA396" s="322"/>
      <c r="AB396" s="322"/>
      <c r="AC396" s="307"/>
      <c r="AD396" s="322"/>
      <c r="AE396" s="322"/>
      <c r="AH396" s="315"/>
    </row>
    <row r="397" spans="3:34" s="306" customFormat="1" ht="11.75" customHeight="1" x14ac:dyDescent="0.15">
      <c r="G397" s="307"/>
      <c r="H397" s="316"/>
      <c r="I397" s="322"/>
      <c r="J397" s="322"/>
      <c r="K397" s="307"/>
      <c r="L397" s="322"/>
      <c r="M397" s="322"/>
      <c r="N397" s="307"/>
      <c r="O397" s="322"/>
      <c r="P397" s="322"/>
      <c r="Q397" s="307"/>
      <c r="R397" s="322"/>
      <c r="S397" s="322"/>
      <c r="T397" s="307"/>
      <c r="U397" s="322"/>
      <c r="V397" s="322"/>
      <c r="W397" s="307"/>
      <c r="X397" s="322"/>
      <c r="Y397" s="322"/>
      <c r="Z397" s="307"/>
      <c r="AA397" s="322"/>
      <c r="AB397" s="322"/>
      <c r="AC397" s="307"/>
      <c r="AD397" s="322"/>
      <c r="AE397" s="322"/>
      <c r="AH397" s="315"/>
    </row>
    <row r="398" spans="3:34" s="306" customFormat="1" ht="11.75" customHeight="1" x14ac:dyDescent="0.15">
      <c r="G398" s="307"/>
      <c r="H398" s="316"/>
      <c r="I398" s="322"/>
      <c r="J398" s="322"/>
      <c r="K398" s="307"/>
      <c r="L398" s="322"/>
      <c r="M398" s="322"/>
      <c r="N398" s="307"/>
      <c r="O398" s="322"/>
      <c r="P398" s="322"/>
      <c r="Q398" s="307"/>
      <c r="R398" s="322"/>
      <c r="S398" s="322"/>
      <c r="T398" s="307"/>
      <c r="U398" s="322"/>
      <c r="V398" s="322"/>
      <c r="W398" s="307"/>
      <c r="X398" s="322"/>
      <c r="Y398" s="322"/>
      <c r="Z398" s="307"/>
      <c r="AA398" s="322"/>
      <c r="AB398" s="322"/>
      <c r="AC398" s="307"/>
      <c r="AD398" s="322"/>
      <c r="AE398" s="322"/>
      <c r="AH398" s="315"/>
    </row>
    <row r="399" spans="3:34" s="306" customFormat="1" ht="11.75" customHeight="1" x14ac:dyDescent="0.15">
      <c r="G399" s="307"/>
      <c r="H399" s="316"/>
      <c r="I399" s="322"/>
      <c r="J399" s="322"/>
      <c r="K399" s="307"/>
      <c r="L399" s="322"/>
      <c r="M399" s="322"/>
      <c r="N399" s="307"/>
      <c r="O399" s="322"/>
      <c r="P399" s="322"/>
      <c r="Q399" s="307"/>
      <c r="R399" s="322"/>
      <c r="S399" s="322"/>
      <c r="T399" s="307"/>
      <c r="U399" s="322"/>
      <c r="V399" s="322"/>
      <c r="W399" s="307"/>
      <c r="X399" s="322"/>
      <c r="Y399" s="322"/>
      <c r="Z399" s="307"/>
      <c r="AA399" s="322"/>
      <c r="AB399" s="322"/>
      <c r="AC399" s="307"/>
      <c r="AD399" s="322"/>
      <c r="AE399" s="322"/>
      <c r="AH399" s="315"/>
    </row>
    <row r="400" spans="3:34" s="306" customFormat="1" ht="11.75" customHeight="1" x14ac:dyDescent="0.15">
      <c r="G400" s="307"/>
      <c r="H400" s="316"/>
      <c r="I400" s="322"/>
      <c r="J400" s="322"/>
      <c r="K400" s="307"/>
      <c r="L400" s="322"/>
      <c r="M400" s="322"/>
      <c r="N400" s="307"/>
      <c r="O400" s="322"/>
      <c r="P400" s="322"/>
      <c r="Q400" s="307"/>
      <c r="R400" s="322"/>
      <c r="S400" s="322"/>
      <c r="T400" s="307"/>
      <c r="U400" s="322"/>
      <c r="V400" s="322"/>
      <c r="W400" s="307"/>
      <c r="X400" s="322"/>
      <c r="Y400" s="322"/>
      <c r="Z400" s="307"/>
      <c r="AA400" s="322"/>
      <c r="AB400" s="322"/>
      <c r="AC400" s="307"/>
      <c r="AD400" s="322"/>
      <c r="AE400" s="322"/>
      <c r="AH400" s="315"/>
    </row>
    <row r="401" spans="6:44" s="306" customFormat="1" ht="11.75" customHeight="1" x14ac:dyDescent="0.15">
      <c r="G401" s="307"/>
      <c r="H401" s="316"/>
      <c r="I401" s="322"/>
      <c r="J401" s="322"/>
      <c r="K401" s="307"/>
      <c r="L401" s="322"/>
      <c r="M401" s="322"/>
      <c r="N401" s="307"/>
      <c r="O401" s="322"/>
      <c r="P401" s="322"/>
      <c r="Q401" s="307"/>
      <c r="R401" s="322"/>
      <c r="S401" s="322"/>
      <c r="T401" s="307"/>
      <c r="U401" s="322"/>
      <c r="V401" s="322"/>
      <c r="W401" s="307"/>
      <c r="X401" s="322"/>
      <c r="Y401" s="322"/>
      <c r="Z401" s="307"/>
      <c r="AA401" s="322"/>
      <c r="AB401" s="322"/>
      <c r="AC401" s="307"/>
      <c r="AD401" s="322"/>
      <c r="AE401" s="322"/>
      <c r="AH401" s="315"/>
    </row>
    <row r="402" spans="6:44" s="306" customFormat="1" ht="11.75" customHeight="1" x14ac:dyDescent="0.15">
      <c r="G402" s="307"/>
      <c r="H402" s="316"/>
      <c r="I402" s="322"/>
      <c r="J402" s="322"/>
      <c r="K402" s="307"/>
      <c r="L402" s="322"/>
      <c r="M402" s="322"/>
      <c r="N402" s="307"/>
      <c r="O402" s="322"/>
      <c r="P402" s="322"/>
      <c r="Q402" s="307"/>
      <c r="R402" s="322"/>
      <c r="S402" s="322"/>
      <c r="T402" s="307"/>
      <c r="U402" s="322"/>
      <c r="V402" s="322"/>
      <c r="W402" s="307"/>
      <c r="X402" s="322"/>
      <c r="Y402" s="322"/>
      <c r="Z402" s="307"/>
      <c r="AA402" s="322"/>
      <c r="AB402" s="322"/>
      <c r="AC402" s="307"/>
      <c r="AD402" s="322"/>
      <c r="AE402" s="322"/>
      <c r="AH402" s="315"/>
    </row>
    <row r="403" spans="6:44" s="306" customFormat="1" ht="11.75" customHeight="1" x14ac:dyDescent="0.15">
      <c r="G403" s="307"/>
      <c r="H403" s="316"/>
      <c r="I403" s="322"/>
      <c r="J403" s="322"/>
      <c r="K403" s="307"/>
      <c r="L403" s="322"/>
      <c r="M403" s="322"/>
      <c r="N403" s="307"/>
      <c r="O403" s="322"/>
      <c r="P403" s="322"/>
      <c r="Q403" s="307"/>
      <c r="R403" s="322"/>
      <c r="S403" s="322"/>
      <c r="T403" s="307"/>
      <c r="U403" s="322"/>
      <c r="V403" s="322"/>
      <c r="W403" s="307"/>
      <c r="X403" s="322"/>
      <c r="Y403" s="322"/>
      <c r="Z403" s="307"/>
      <c r="AA403" s="322"/>
      <c r="AB403" s="322"/>
      <c r="AC403" s="307"/>
      <c r="AD403" s="322"/>
      <c r="AE403" s="322"/>
      <c r="AH403" s="315"/>
    </row>
    <row r="404" spans="6:44" s="306" customFormat="1" ht="11.75" customHeight="1" x14ac:dyDescent="0.15">
      <c r="G404" s="307"/>
      <c r="H404" s="316"/>
      <c r="I404" s="322"/>
      <c r="J404" s="322"/>
      <c r="K404" s="307"/>
      <c r="L404" s="322"/>
      <c r="M404" s="322"/>
      <c r="N404" s="307"/>
      <c r="O404" s="322"/>
      <c r="P404" s="322"/>
      <c r="Q404" s="307"/>
      <c r="R404" s="322"/>
      <c r="S404" s="322"/>
      <c r="T404" s="307"/>
      <c r="U404" s="322"/>
      <c r="V404" s="322"/>
      <c r="W404" s="307"/>
      <c r="X404" s="322"/>
      <c r="Y404" s="322"/>
      <c r="Z404" s="307"/>
      <c r="AA404" s="322"/>
      <c r="AB404" s="322"/>
      <c r="AC404" s="307"/>
      <c r="AD404" s="322"/>
      <c r="AE404" s="322"/>
      <c r="AH404" s="315"/>
    </row>
    <row r="405" spans="6:44" s="306" customFormat="1" ht="11.75" customHeight="1" x14ac:dyDescent="0.15">
      <c r="G405" s="307"/>
      <c r="H405" s="316"/>
      <c r="I405" s="322"/>
      <c r="J405" s="322"/>
      <c r="K405" s="307"/>
      <c r="L405" s="322"/>
      <c r="M405" s="322"/>
      <c r="N405" s="307"/>
      <c r="O405" s="322"/>
      <c r="P405" s="322"/>
      <c r="Q405" s="307"/>
      <c r="R405" s="322"/>
      <c r="S405" s="322"/>
      <c r="T405" s="307"/>
      <c r="U405" s="322"/>
      <c r="V405" s="322"/>
      <c r="W405" s="307"/>
      <c r="X405" s="322"/>
      <c r="Y405" s="322"/>
      <c r="Z405" s="307"/>
      <c r="AA405" s="322"/>
      <c r="AB405" s="322"/>
      <c r="AC405" s="307"/>
      <c r="AD405" s="322"/>
      <c r="AE405" s="322"/>
      <c r="AH405" s="315"/>
    </row>
    <row r="406" spans="6:44" s="306" customFormat="1" ht="11.75" customHeight="1" x14ac:dyDescent="0.15">
      <c r="G406" s="307"/>
      <c r="H406" s="316"/>
      <c r="I406" s="322"/>
      <c r="J406" s="322"/>
      <c r="K406" s="307"/>
      <c r="L406" s="322"/>
      <c r="M406" s="322"/>
      <c r="N406" s="307"/>
      <c r="O406" s="322"/>
      <c r="P406" s="322"/>
      <c r="Q406" s="307"/>
      <c r="R406" s="322"/>
      <c r="S406" s="322"/>
      <c r="T406" s="307"/>
      <c r="U406" s="322"/>
      <c r="V406" s="322"/>
      <c r="W406" s="307"/>
      <c r="X406" s="322"/>
      <c r="Y406" s="322"/>
      <c r="Z406" s="307"/>
      <c r="AA406" s="322"/>
      <c r="AB406" s="322"/>
      <c r="AC406" s="307"/>
      <c r="AD406" s="322"/>
      <c r="AE406" s="322"/>
      <c r="AH406" s="315"/>
    </row>
    <row r="407" spans="6:44" s="306" customFormat="1" ht="11.75" customHeight="1" x14ac:dyDescent="0.15">
      <c r="G407" s="307"/>
      <c r="H407" s="316"/>
      <c r="I407" s="322"/>
      <c r="J407" s="322"/>
      <c r="K407" s="307"/>
      <c r="L407" s="322"/>
      <c r="M407" s="322"/>
      <c r="N407" s="307"/>
      <c r="O407" s="322"/>
      <c r="P407" s="322"/>
      <c r="Q407" s="307"/>
      <c r="R407" s="322"/>
      <c r="S407" s="322"/>
      <c r="T407" s="307"/>
      <c r="U407" s="322"/>
      <c r="V407" s="322"/>
      <c r="W407" s="307"/>
      <c r="X407" s="322"/>
      <c r="Y407" s="322"/>
      <c r="Z407" s="307"/>
      <c r="AA407" s="322"/>
      <c r="AB407" s="322"/>
      <c r="AC407" s="307"/>
      <c r="AD407" s="322"/>
      <c r="AE407" s="322"/>
      <c r="AH407" s="315"/>
    </row>
    <row r="408" spans="6:44" s="306" customFormat="1" ht="11.75" customHeight="1" x14ac:dyDescent="0.15">
      <c r="F408" s="321"/>
      <c r="G408" s="307"/>
      <c r="H408" s="316"/>
      <c r="I408" s="322"/>
      <c r="J408" s="322"/>
      <c r="K408" s="307"/>
      <c r="L408" s="322"/>
      <c r="M408" s="322"/>
      <c r="N408" s="307"/>
      <c r="O408" s="322"/>
      <c r="P408" s="322"/>
      <c r="Q408" s="307"/>
      <c r="R408" s="322"/>
      <c r="S408" s="322"/>
      <c r="T408" s="307"/>
      <c r="U408" s="322"/>
      <c r="V408" s="322"/>
      <c r="W408" s="307"/>
      <c r="X408" s="322"/>
      <c r="Y408" s="322"/>
      <c r="Z408" s="307"/>
      <c r="AA408" s="322"/>
      <c r="AB408" s="322"/>
      <c r="AC408" s="307"/>
      <c r="AD408" s="322"/>
      <c r="AE408" s="322"/>
      <c r="AH408" s="315"/>
    </row>
    <row r="409" spans="6:44" s="306" customFormat="1" ht="11.75" customHeight="1" x14ac:dyDescent="0.15">
      <c r="G409" s="307"/>
      <c r="H409" s="316"/>
      <c r="I409" s="322"/>
      <c r="J409" s="322"/>
      <c r="K409" s="307"/>
      <c r="L409" s="322"/>
      <c r="M409" s="322"/>
      <c r="N409" s="307"/>
      <c r="O409" s="322"/>
      <c r="P409" s="322"/>
      <c r="Q409" s="307"/>
      <c r="R409" s="322"/>
      <c r="S409" s="322"/>
      <c r="T409" s="307"/>
      <c r="U409" s="322"/>
      <c r="V409" s="322"/>
      <c r="W409" s="307"/>
      <c r="X409" s="322"/>
      <c r="Y409" s="322"/>
      <c r="Z409" s="307"/>
      <c r="AA409" s="322"/>
      <c r="AB409" s="322"/>
      <c r="AC409" s="307"/>
      <c r="AD409" s="322"/>
      <c r="AE409" s="322"/>
      <c r="AH409" s="315"/>
    </row>
    <row r="410" spans="6:44" s="306" customFormat="1" ht="11.75" customHeight="1" x14ac:dyDescent="0.15">
      <c r="G410" s="307"/>
      <c r="H410" s="316"/>
      <c r="I410" s="322"/>
      <c r="J410" s="322"/>
      <c r="K410" s="307"/>
      <c r="L410" s="322"/>
      <c r="M410" s="322"/>
      <c r="N410" s="307"/>
      <c r="O410" s="322"/>
      <c r="P410" s="322"/>
      <c r="Q410" s="307"/>
      <c r="R410" s="322"/>
      <c r="S410" s="322"/>
      <c r="T410" s="307"/>
      <c r="U410" s="322"/>
      <c r="V410" s="322"/>
      <c r="W410" s="307"/>
      <c r="X410" s="322"/>
      <c r="Y410" s="322"/>
      <c r="Z410" s="307"/>
      <c r="AA410" s="322"/>
      <c r="AB410" s="322"/>
      <c r="AC410" s="307"/>
      <c r="AD410" s="322"/>
      <c r="AE410" s="322"/>
      <c r="AH410" s="315"/>
    </row>
    <row r="411" spans="6:44" s="306" customFormat="1" ht="11.75" customHeight="1" x14ac:dyDescent="0.15">
      <c r="G411" s="307"/>
      <c r="H411" s="316"/>
      <c r="I411" s="322"/>
      <c r="J411" s="322"/>
      <c r="K411" s="307"/>
      <c r="L411" s="322"/>
      <c r="M411" s="322"/>
      <c r="N411" s="307"/>
      <c r="O411" s="322"/>
      <c r="P411" s="322"/>
      <c r="Q411" s="307"/>
      <c r="R411" s="322"/>
      <c r="S411" s="322"/>
      <c r="T411" s="307"/>
      <c r="U411" s="322"/>
      <c r="V411" s="322"/>
      <c r="W411" s="307"/>
      <c r="X411" s="322"/>
      <c r="Y411" s="322"/>
      <c r="Z411" s="307"/>
      <c r="AA411" s="322"/>
      <c r="AB411" s="322"/>
      <c r="AC411" s="307"/>
      <c r="AD411" s="322"/>
      <c r="AE411" s="322"/>
      <c r="AH411" s="315"/>
    </row>
    <row r="412" spans="6:44" s="306" customFormat="1" ht="11.75" customHeight="1" x14ac:dyDescent="0.15">
      <c r="G412" s="307"/>
      <c r="H412" s="316"/>
      <c r="I412" s="322"/>
      <c r="J412" s="322"/>
      <c r="K412" s="307"/>
      <c r="L412" s="322"/>
      <c r="M412" s="322"/>
      <c r="N412" s="307"/>
      <c r="O412" s="322"/>
      <c r="P412" s="322"/>
      <c r="Q412" s="307"/>
      <c r="R412" s="322"/>
      <c r="S412" s="322"/>
      <c r="T412" s="307"/>
      <c r="U412" s="322"/>
      <c r="V412" s="322"/>
      <c r="W412" s="307"/>
      <c r="X412" s="322"/>
      <c r="Y412" s="322"/>
      <c r="Z412" s="307"/>
      <c r="AA412" s="322"/>
      <c r="AB412" s="322"/>
      <c r="AC412" s="307"/>
      <c r="AD412" s="322"/>
      <c r="AE412" s="322"/>
      <c r="AH412" s="315"/>
    </row>
    <row r="413" spans="6:44" s="306" customFormat="1" ht="11.75" customHeight="1" x14ac:dyDescent="0.15">
      <c r="G413" s="307"/>
      <c r="H413" s="316"/>
      <c r="I413" s="322"/>
      <c r="J413" s="322"/>
      <c r="K413" s="307"/>
      <c r="L413" s="310"/>
      <c r="M413" s="310"/>
      <c r="N413" s="307"/>
      <c r="O413" s="310"/>
      <c r="P413" s="310"/>
      <c r="Q413" s="307"/>
      <c r="R413" s="310"/>
      <c r="S413" s="310"/>
      <c r="T413" s="307"/>
      <c r="U413" s="310"/>
      <c r="V413" s="310"/>
      <c r="W413" s="307"/>
      <c r="X413" s="310"/>
      <c r="Y413" s="310"/>
      <c r="Z413" s="307"/>
      <c r="AA413" s="310"/>
      <c r="AB413" s="310"/>
      <c r="AC413" s="307"/>
      <c r="AD413" s="310"/>
      <c r="AE413" s="310"/>
      <c r="AH413" s="315"/>
      <c r="AR413" s="315"/>
    </row>
    <row r="414" spans="6:44" s="306" customFormat="1" ht="11.75" customHeight="1" x14ac:dyDescent="0.15">
      <c r="G414" s="307"/>
      <c r="H414" s="316"/>
      <c r="I414" s="322"/>
      <c r="J414" s="322"/>
      <c r="K414" s="307"/>
      <c r="L414" s="310"/>
      <c r="M414" s="310"/>
      <c r="N414" s="307"/>
      <c r="O414" s="310"/>
      <c r="P414" s="310"/>
      <c r="Q414" s="307"/>
      <c r="R414" s="310"/>
      <c r="S414" s="310"/>
      <c r="T414" s="307"/>
      <c r="U414" s="310"/>
      <c r="V414" s="310"/>
      <c r="W414" s="307"/>
      <c r="X414" s="310"/>
      <c r="Y414" s="310"/>
      <c r="Z414" s="307"/>
      <c r="AA414" s="310"/>
      <c r="AB414" s="310"/>
      <c r="AC414" s="307"/>
      <c r="AD414" s="310"/>
      <c r="AE414" s="310"/>
      <c r="AH414" s="315"/>
      <c r="AR414" s="315"/>
    </row>
    <row r="415" spans="6:44" s="306" customFormat="1" ht="11.75" customHeight="1" x14ac:dyDescent="0.15">
      <c r="G415" s="307"/>
      <c r="H415" s="322"/>
      <c r="I415" s="322"/>
      <c r="J415" s="322"/>
      <c r="K415" s="322"/>
      <c r="L415" s="322"/>
      <c r="M415" s="322"/>
      <c r="N415" s="322"/>
      <c r="O415" s="322"/>
      <c r="P415" s="322"/>
      <c r="Q415" s="322"/>
      <c r="R415" s="322"/>
      <c r="S415" s="322"/>
      <c r="T415" s="322"/>
      <c r="U415" s="322"/>
      <c r="V415" s="322"/>
      <c r="W415" s="322"/>
      <c r="X415" s="322"/>
      <c r="Y415" s="322"/>
      <c r="Z415" s="322"/>
      <c r="AA415" s="322"/>
      <c r="AB415" s="322"/>
      <c r="AC415" s="322"/>
      <c r="AD415" s="322"/>
      <c r="AE415" s="322"/>
      <c r="AH415" s="315"/>
    </row>
    <row r="416" spans="6:44" s="306" customFormat="1" ht="11.75" customHeight="1" x14ac:dyDescent="0.15">
      <c r="G416" s="307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  <c r="T416" s="322"/>
      <c r="U416" s="322"/>
      <c r="V416" s="322"/>
      <c r="W416" s="322"/>
      <c r="X416" s="322"/>
      <c r="Y416" s="322"/>
      <c r="Z416" s="322"/>
      <c r="AA416" s="322"/>
      <c r="AB416" s="322"/>
      <c r="AC416" s="322"/>
      <c r="AD416" s="322"/>
      <c r="AE416" s="322"/>
      <c r="AH416" s="315"/>
    </row>
    <row r="417" spans="3:34" s="306" customFormat="1" ht="11.75" customHeight="1" x14ac:dyDescent="0.15">
      <c r="G417" s="307"/>
      <c r="H417" s="322"/>
      <c r="I417" s="322"/>
      <c r="J417" s="322"/>
      <c r="K417" s="322"/>
      <c r="L417" s="322"/>
      <c r="M417" s="322"/>
      <c r="N417" s="322"/>
      <c r="O417" s="322"/>
      <c r="P417" s="322"/>
      <c r="Q417" s="322"/>
      <c r="R417" s="322"/>
      <c r="S417" s="322"/>
      <c r="T417" s="322"/>
      <c r="U417" s="322"/>
      <c r="V417" s="322"/>
      <c r="W417" s="322"/>
      <c r="X417" s="322"/>
      <c r="Y417" s="322"/>
      <c r="Z417" s="322"/>
      <c r="AA417" s="322"/>
      <c r="AB417" s="322"/>
      <c r="AC417" s="322"/>
      <c r="AD417" s="322"/>
      <c r="AE417" s="322"/>
    </row>
    <row r="418" spans="3:34" s="306" customFormat="1" ht="11.75" customHeight="1" x14ac:dyDescent="0.15">
      <c r="G418" s="307"/>
      <c r="H418" s="322"/>
      <c r="I418" s="322"/>
      <c r="J418" s="322"/>
      <c r="K418" s="322"/>
      <c r="L418" s="322"/>
      <c r="M418" s="322"/>
      <c r="N418" s="322"/>
      <c r="O418" s="322"/>
      <c r="P418" s="322"/>
      <c r="Q418" s="322"/>
      <c r="R418" s="322"/>
      <c r="S418" s="322"/>
      <c r="T418" s="322"/>
      <c r="U418" s="322"/>
      <c r="V418" s="322"/>
      <c r="W418" s="322"/>
      <c r="X418" s="322"/>
      <c r="Y418" s="322"/>
      <c r="Z418" s="322"/>
      <c r="AA418" s="322"/>
      <c r="AB418" s="322"/>
      <c r="AC418" s="322"/>
      <c r="AD418" s="322"/>
      <c r="AE418" s="322"/>
    </row>
    <row r="419" spans="3:34" s="306" customFormat="1" ht="11.75" customHeight="1" x14ac:dyDescent="0.15">
      <c r="G419" s="307"/>
      <c r="H419" s="323"/>
      <c r="I419" s="323"/>
      <c r="J419" s="323"/>
      <c r="K419" s="323"/>
      <c r="L419" s="323"/>
      <c r="M419" s="323"/>
      <c r="N419" s="323"/>
      <c r="O419" s="323"/>
      <c r="P419" s="323"/>
      <c r="Q419" s="323"/>
      <c r="R419" s="323"/>
      <c r="S419" s="323"/>
      <c r="T419" s="323"/>
      <c r="U419" s="323"/>
      <c r="V419" s="323"/>
      <c r="W419" s="323"/>
      <c r="X419" s="323"/>
      <c r="Y419" s="323"/>
      <c r="Z419" s="323"/>
      <c r="AA419" s="323"/>
      <c r="AB419" s="323"/>
      <c r="AC419" s="323"/>
      <c r="AD419" s="323"/>
      <c r="AE419" s="323"/>
    </row>
    <row r="420" spans="3:34" s="306" customFormat="1" ht="11.75" customHeight="1" x14ac:dyDescent="0.15">
      <c r="C420" s="308"/>
      <c r="D420" s="308"/>
      <c r="E420" s="308"/>
      <c r="F420" s="308"/>
      <c r="G420" s="307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  <c r="R420" s="310"/>
      <c r="S420" s="310"/>
      <c r="T420" s="310"/>
      <c r="U420" s="310"/>
      <c r="V420" s="310"/>
      <c r="W420" s="310"/>
      <c r="X420" s="310"/>
      <c r="Y420" s="310"/>
      <c r="Z420" s="310"/>
      <c r="AA420" s="310"/>
      <c r="AB420" s="310"/>
      <c r="AC420" s="310"/>
      <c r="AD420" s="310"/>
      <c r="AE420" s="310"/>
    </row>
    <row r="421" spans="3:34" s="306" customFormat="1" ht="11.75" customHeight="1" x14ac:dyDescent="0.15">
      <c r="G421" s="307"/>
      <c r="H421" s="322"/>
      <c r="I421" s="322"/>
      <c r="J421" s="322"/>
      <c r="K421" s="322"/>
      <c r="L421" s="322"/>
      <c r="M421" s="322"/>
      <c r="N421" s="322"/>
      <c r="O421" s="322"/>
      <c r="P421" s="322"/>
      <c r="Q421" s="322"/>
      <c r="R421" s="322"/>
      <c r="S421" s="322"/>
      <c r="T421" s="322"/>
      <c r="U421" s="322"/>
      <c r="V421" s="322"/>
      <c r="W421" s="322"/>
      <c r="X421" s="322"/>
      <c r="Y421" s="322"/>
      <c r="Z421" s="322"/>
      <c r="AA421" s="322"/>
      <c r="AB421" s="322"/>
      <c r="AC421" s="322"/>
      <c r="AD421" s="322"/>
      <c r="AE421" s="322"/>
      <c r="AH421" s="315"/>
    </row>
    <row r="422" spans="3:34" s="306" customFormat="1" ht="11.75" customHeight="1" x14ac:dyDescent="0.15">
      <c r="G422" s="307"/>
      <c r="H422" s="322"/>
      <c r="I422" s="322"/>
      <c r="J422" s="322"/>
      <c r="K422" s="322"/>
      <c r="L422" s="322"/>
      <c r="M422" s="322"/>
      <c r="N422" s="322"/>
      <c r="O422" s="322"/>
      <c r="P422" s="322"/>
      <c r="Q422" s="322"/>
      <c r="R422" s="322"/>
      <c r="S422" s="322"/>
      <c r="T422" s="322"/>
      <c r="U422" s="322"/>
      <c r="V422" s="322"/>
      <c r="W422" s="322"/>
      <c r="X422" s="322"/>
      <c r="Y422" s="322"/>
      <c r="Z422" s="322"/>
      <c r="AA422" s="322"/>
      <c r="AB422" s="322"/>
      <c r="AC422" s="322"/>
      <c r="AD422" s="322"/>
      <c r="AE422" s="322"/>
    </row>
    <row r="423" spans="3:34" s="306" customFormat="1" ht="11.75" customHeight="1" x14ac:dyDescent="0.15">
      <c r="G423" s="307"/>
      <c r="H423" s="322"/>
      <c r="I423" s="322"/>
      <c r="J423" s="322"/>
      <c r="K423" s="322"/>
      <c r="L423" s="322"/>
      <c r="M423" s="322"/>
      <c r="N423" s="322"/>
      <c r="O423" s="322"/>
      <c r="P423" s="322"/>
      <c r="Q423" s="322"/>
      <c r="R423" s="322"/>
      <c r="S423" s="322"/>
      <c r="T423" s="322"/>
      <c r="U423" s="322"/>
      <c r="V423" s="322"/>
      <c r="W423" s="322"/>
      <c r="X423" s="322"/>
      <c r="Y423" s="322"/>
      <c r="Z423" s="322"/>
      <c r="AA423" s="322"/>
      <c r="AB423" s="322"/>
      <c r="AC423" s="322"/>
      <c r="AD423" s="322"/>
      <c r="AE423" s="322"/>
    </row>
    <row r="424" spans="3:34" s="306" customFormat="1" ht="11.75" customHeight="1" x14ac:dyDescent="0.15">
      <c r="G424" s="307"/>
      <c r="H424" s="322"/>
      <c r="I424" s="322"/>
      <c r="J424" s="322"/>
      <c r="K424" s="322"/>
      <c r="L424" s="322"/>
      <c r="M424" s="322"/>
      <c r="N424" s="322"/>
      <c r="O424" s="322"/>
      <c r="P424" s="322"/>
      <c r="Q424" s="322"/>
      <c r="R424" s="322"/>
      <c r="S424" s="322"/>
      <c r="T424" s="322"/>
      <c r="U424" s="322"/>
      <c r="V424" s="322"/>
      <c r="W424" s="322"/>
      <c r="X424" s="322"/>
      <c r="Y424" s="322"/>
      <c r="Z424" s="322"/>
      <c r="AA424" s="322"/>
      <c r="AB424" s="322"/>
      <c r="AC424" s="322"/>
      <c r="AD424" s="322"/>
      <c r="AE424" s="322"/>
    </row>
    <row r="425" spans="3:34" s="306" customFormat="1" ht="11.75" customHeight="1" x14ac:dyDescent="0.15">
      <c r="G425" s="307"/>
      <c r="H425" s="322"/>
      <c r="I425" s="322"/>
      <c r="J425" s="322"/>
      <c r="K425" s="322"/>
      <c r="L425" s="322"/>
      <c r="M425" s="322"/>
      <c r="N425" s="322"/>
      <c r="O425" s="322"/>
      <c r="P425" s="322"/>
      <c r="Q425" s="322"/>
      <c r="R425" s="322"/>
      <c r="S425" s="322"/>
      <c r="T425" s="322"/>
      <c r="U425" s="322"/>
      <c r="V425" s="322"/>
      <c r="W425" s="322"/>
      <c r="X425" s="322"/>
      <c r="Y425" s="322"/>
      <c r="Z425" s="322"/>
      <c r="AA425" s="322"/>
      <c r="AB425" s="322"/>
      <c r="AC425" s="322"/>
      <c r="AD425" s="322"/>
      <c r="AE425" s="322"/>
    </row>
    <row r="426" spans="3:34" s="306" customFormat="1" ht="11.75" customHeight="1" x14ac:dyDescent="0.15">
      <c r="C426" s="308"/>
      <c r="D426" s="308"/>
      <c r="E426" s="308"/>
      <c r="F426" s="308"/>
      <c r="G426" s="307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  <c r="R426" s="310"/>
      <c r="S426" s="310"/>
      <c r="T426" s="310"/>
      <c r="U426" s="310"/>
      <c r="V426" s="310"/>
      <c r="W426" s="310"/>
      <c r="X426" s="310"/>
      <c r="Y426" s="310"/>
      <c r="Z426" s="310"/>
      <c r="AA426" s="310"/>
      <c r="AB426" s="310"/>
      <c r="AC426" s="310"/>
      <c r="AD426" s="310"/>
      <c r="AE426" s="310"/>
    </row>
    <row r="427" spans="3:34" s="306" customFormat="1" ht="11.75" customHeight="1" x14ac:dyDescent="0.15">
      <c r="G427" s="307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  <c r="R427" s="310"/>
      <c r="S427" s="310"/>
      <c r="T427" s="310"/>
      <c r="U427" s="310"/>
      <c r="V427" s="310"/>
      <c r="W427" s="310"/>
      <c r="X427" s="310"/>
      <c r="Y427" s="310"/>
      <c r="Z427" s="310"/>
      <c r="AA427" s="310"/>
      <c r="AB427" s="310"/>
      <c r="AC427" s="310"/>
      <c r="AD427" s="310"/>
      <c r="AE427" s="310"/>
    </row>
    <row r="428" spans="3:34" s="306" customFormat="1" ht="11.75" customHeight="1" x14ac:dyDescent="0.15">
      <c r="G428" s="307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  <c r="R428" s="310"/>
      <c r="S428" s="310"/>
      <c r="T428" s="310"/>
      <c r="U428" s="310"/>
      <c r="V428" s="310"/>
      <c r="W428" s="310"/>
      <c r="X428" s="310"/>
      <c r="Y428" s="310"/>
      <c r="Z428" s="310"/>
      <c r="AA428" s="310"/>
      <c r="AB428" s="310"/>
      <c r="AC428" s="310"/>
      <c r="AD428" s="310"/>
      <c r="AE428" s="310"/>
    </row>
    <row r="429" spans="3:34" s="306" customFormat="1" ht="11.75" customHeight="1" x14ac:dyDescent="0.15">
      <c r="G429" s="307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  <c r="R429" s="310"/>
      <c r="S429" s="310"/>
      <c r="T429" s="310"/>
      <c r="U429" s="310"/>
      <c r="V429" s="310"/>
      <c r="W429" s="310"/>
      <c r="X429" s="310"/>
      <c r="Y429" s="310"/>
      <c r="Z429" s="310"/>
      <c r="AA429" s="310"/>
      <c r="AB429" s="310"/>
      <c r="AC429" s="310"/>
      <c r="AD429" s="310"/>
      <c r="AE429" s="310"/>
      <c r="AH429" s="315"/>
    </row>
    <row r="430" spans="3:34" s="306" customFormat="1" ht="11.75" customHeight="1" x14ac:dyDescent="0.15">
      <c r="G430" s="307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  <c r="R430" s="310"/>
      <c r="S430" s="310"/>
      <c r="T430" s="310"/>
      <c r="U430" s="310"/>
      <c r="V430" s="310"/>
      <c r="W430" s="310"/>
      <c r="X430" s="310"/>
      <c r="Y430" s="310"/>
      <c r="Z430" s="310"/>
      <c r="AA430" s="310"/>
      <c r="AB430" s="310"/>
      <c r="AC430" s="310"/>
      <c r="AD430" s="310"/>
      <c r="AE430" s="310"/>
      <c r="AH430" s="315"/>
    </row>
    <row r="431" spans="3:34" s="306" customFormat="1" ht="11.75" customHeight="1" x14ac:dyDescent="0.15">
      <c r="G431" s="307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  <c r="R431" s="310"/>
      <c r="S431" s="310"/>
      <c r="T431" s="310"/>
      <c r="U431" s="310"/>
      <c r="V431" s="310"/>
      <c r="W431" s="310"/>
      <c r="X431" s="310"/>
      <c r="Y431" s="310"/>
      <c r="Z431" s="310"/>
      <c r="AA431" s="310"/>
      <c r="AB431" s="310"/>
      <c r="AC431" s="310"/>
      <c r="AD431" s="310"/>
      <c r="AE431" s="310"/>
      <c r="AH431" s="315"/>
    </row>
    <row r="432" spans="3:34" s="306" customFormat="1" ht="11.75" customHeight="1" x14ac:dyDescent="0.15">
      <c r="G432" s="307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  <c r="R432" s="310"/>
      <c r="S432" s="310"/>
      <c r="T432" s="310"/>
      <c r="U432" s="310"/>
      <c r="V432" s="310"/>
      <c r="W432" s="310"/>
      <c r="X432" s="310"/>
      <c r="Y432" s="310"/>
      <c r="Z432" s="310"/>
      <c r="AA432" s="310"/>
      <c r="AB432" s="310"/>
      <c r="AC432" s="310"/>
      <c r="AD432" s="310"/>
      <c r="AE432" s="310"/>
      <c r="AH432" s="315"/>
    </row>
    <row r="433" spans="3:34" s="306" customFormat="1" ht="11.75" customHeight="1" x14ac:dyDescent="0.15">
      <c r="G433" s="307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  <c r="R433" s="310"/>
      <c r="S433" s="310"/>
      <c r="T433" s="310"/>
      <c r="U433" s="310"/>
      <c r="V433" s="310"/>
      <c r="W433" s="310"/>
      <c r="X433" s="310"/>
      <c r="Y433" s="310"/>
      <c r="Z433" s="310"/>
      <c r="AA433" s="310"/>
      <c r="AB433" s="310"/>
      <c r="AC433" s="310"/>
      <c r="AD433" s="310"/>
      <c r="AE433" s="310"/>
      <c r="AH433" s="315"/>
    </row>
    <row r="434" spans="3:34" s="306" customFormat="1" ht="11.75" customHeight="1" x14ac:dyDescent="0.15">
      <c r="G434" s="307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  <c r="R434" s="310"/>
      <c r="S434" s="310"/>
      <c r="T434" s="310"/>
      <c r="U434" s="310"/>
      <c r="V434" s="310"/>
      <c r="W434" s="310"/>
      <c r="X434" s="310"/>
      <c r="Y434" s="310"/>
      <c r="Z434" s="310"/>
      <c r="AA434" s="310"/>
      <c r="AB434" s="310"/>
      <c r="AC434" s="310"/>
      <c r="AD434" s="310"/>
      <c r="AE434" s="310"/>
      <c r="AH434" s="315"/>
    </row>
    <row r="435" spans="3:34" s="306" customFormat="1" ht="11.75" customHeight="1" x14ac:dyDescent="0.15">
      <c r="G435" s="307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  <c r="R435" s="310"/>
      <c r="S435" s="310"/>
      <c r="T435" s="310"/>
      <c r="U435" s="310"/>
      <c r="V435" s="310"/>
      <c r="W435" s="310"/>
      <c r="X435" s="310"/>
      <c r="Y435" s="310"/>
      <c r="Z435" s="310"/>
      <c r="AA435" s="310"/>
      <c r="AB435" s="310"/>
      <c r="AC435" s="310"/>
      <c r="AD435" s="310"/>
      <c r="AE435" s="310"/>
      <c r="AH435" s="315"/>
    </row>
    <row r="436" spans="3:34" s="306" customFormat="1" ht="11.75" customHeight="1" x14ac:dyDescent="0.15">
      <c r="G436" s="307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  <c r="R436" s="310"/>
      <c r="S436" s="310"/>
      <c r="T436" s="310"/>
      <c r="U436" s="310"/>
      <c r="V436" s="310"/>
      <c r="W436" s="310"/>
      <c r="X436" s="310"/>
      <c r="Y436" s="310"/>
      <c r="Z436" s="310"/>
      <c r="AA436" s="310"/>
      <c r="AB436" s="310"/>
      <c r="AC436" s="310"/>
      <c r="AD436" s="310"/>
      <c r="AE436" s="310"/>
      <c r="AH436" s="315"/>
    </row>
    <row r="437" spans="3:34" s="306" customFormat="1" ht="11.75" customHeight="1" x14ac:dyDescent="0.15">
      <c r="G437" s="307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  <c r="R437" s="310"/>
      <c r="S437" s="310"/>
      <c r="T437" s="310"/>
      <c r="U437" s="310"/>
      <c r="V437" s="310"/>
      <c r="W437" s="310"/>
      <c r="X437" s="310"/>
      <c r="Y437" s="310"/>
      <c r="Z437" s="310"/>
      <c r="AA437" s="310"/>
      <c r="AB437" s="310"/>
      <c r="AC437" s="310"/>
      <c r="AD437" s="310"/>
      <c r="AE437" s="310"/>
      <c r="AH437" s="315"/>
    </row>
    <row r="438" spans="3:34" s="306" customFormat="1" ht="11.75" customHeight="1" x14ac:dyDescent="0.15">
      <c r="G438" s="307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  <c r="R438" s="310"/>
      <c r="S438" s="310"/>
      <c r="T438" s="310"/>
      <c r="U438" s="310"/>
      <c r="V438" s="310"/>
      <c r="W438" s="310"/>
      <c r="X438" s="310"/>
      <c r="Y438" s="310"/>
      <c r="Z438" s="310"/>
      <c r="AA438" s="310"/>
      <c r="AB438" s="310"/>
      <c r="AC438" s="310"/>
      <c r="AD438" s="310"/>
      <c r="AE438" s="310"/>
      <c r="AH438" s="315"/>
    </row>
    <row r="439" spans="3:34" s="306" customFormat="1" ht="11.75" customHeight="1" x14ac:dyDescent="0.15">
      <c r="G439" s="307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  <c r="R439" s="310"/>
      <c r="S439" s="310"/>
      <c r="T439" s="310"/>
      <c r="U439" s="310"/>
      <c r="V439" s="310"/>
      <c r="W439" s="310"/>
      <c r="X439" s="310"/>
      <c r="Y439" s="310"/>
      <c r="Z439" s="310"/>
      <c r="AA439" s="310"/>
      <c r="AB439" s="310"/>
      <c r="AC439" s="310"/>
      <c r="AD439" s="310"/>
      <c r="AE439" s="310"/>
      <c r="AH439" s="315"/>
    </row>
    <row r="440" spans="3:34" s="306" customFormat="1" ht="11.75" customHeight="1" x14ac:dyDescent="0.15">
      <c r="G440" s="307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  <c r="R440" s="310"/>
      <c r="S440" s="310"/>
      <c r="T440" s="310"/>
      <c r="U440" s="310"/>
      <c r="V440" s="310"/>
      <c r="W440" s="310"/>
      <c r="X440" s="310"/>
      <c r="Y440" s="310"/>
      <c r="Z440" s="310"/>
      <c r="AA440" s="310"/>
      <c r="AB440" s="310"/>
      <c r="AC440" s="310"/>
      <c r="AD440" s="310"/>
      <c r="AE440" s="310"/>
    </row>
    <row r="441" spans="3:34" s="306" customFormat="1" ht="11.75" customHeight="1" x14ac:dyDescent="0.15">
      <c r="G441" s="307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  <c r="R441" s="310"/>
      <c r="S441" s="310"/>
      <c r="T441" s="310"/>
      <c r="U441" s="310"/>
      <c r="V441" s="310"/>
      <c r="W441" s="310"/>
      <c r="X441" s="310"/>
      <c r="Y441" s="310"/>
      <c r="Z441" s="310"/>
      <c r="AA441" s="310"/>
      <c r="AB441" s="310"/>
      <c r="AC441" s="310"/>
      <c r="AD441" s="310"/>
      <c r="AE441" s="310"/>
    </row>
    <row r="442" spans="3:34" s="306" customFormat="1" ht="11.75" customHeight="1" x14ac:dyDescent="0.15">
      <c r="G442" s="307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  <c r="R442" s="310"/>
      <c r="S442" s="310"/>
      <c r="T442" s="310"/>
      <c r="U442" s="310"/>
      <c r="V442" s="310"/>
      <c r="W442" s="310"/>
      <c r="X442" s="310"/>
      <c r="Y442" s="310"/>
      <c r="Z442" s="310"/>
      <c r="AA442" s="310"/>
      <c r="AB442" s="310"/>
      <c r="AC442" s="310"/>
      <c r="AD442" s="310"/>
      <c r="AE442" s="310"/>
    </row>
    <row r="443" spans="3:34" s="306" customFormat="1" ht="11.75" customHeight="1" x14ac:dyDescent="0.15">
      <c r="G443" s="307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  <c r="R443" s="310"/>
      <c r="S443" s="310"/>
      <c r="T443" s="310"/>
      <c r="U443" s="310"/>
      <c r="V443" s="310"/>
      <c r="W443" s="310"/>
      <c r="X443" s="310"/>
      <c r="Y443" s="310"/>
      <c r="Z443" s="310"/>
      <c r="AA443" s="310"/>
      <c r="AB443" s="310"/>
      <c r="AC443" s="310"/>
      <c r="AD443" s="310"/>
      <c r="AE443" s="310"/>
    </row>
    <row r="444" spans="3:34" s="306" customFormat="1" ht="11.75" customHeight="1" x14ac:dyDescent="0.15">
      <c r="C444" s="308"/>
      <c r="D444" s="308"/>
      <c r="E444" s="308"/>
      <c r="F444" s="308"/>
      <c r="G444" s="307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  <c r="R444" s="310"/>
      <c r="S444" s="310"/>
      <c r="T444" s="310"/>
      <c r="U444" s="310"/>
      <c r="V444" s="310"/>
      <c r="W444" s="310"/>
      <c r="X444" s="310"/>
      <c r="Y444" s="310"/>
      <c r="Z444" s="310"/>
      <c r="AA444" s="310"/>
      <c r="AB444" s="310"/>
      <c r="AC444" s="310"/>
      <c r="AD444" s="310"/>
      <c r="AE444" s="310"/>
      <c r="AH444" s="315"/>
    </row>
    <row r="445" spans="3:34" s="306" customFormat="1" ht="11.75" customHeight="1" x14ac:dyDescent="0.15">
      <c r="G445" s="307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  <c r="R445" s="310"/>
      <c r="S445" s="310"/>
      <c r="T445" s="310"/>
      <c r="U445" s="310"/>
      <c r="V445" s="310"/>
      <c r="W445" s="310"/>
      <c r="X445" s="310"/>
      <c r="Y445" s="310"/>
      <c r="Z445" s="310"/>
      <c r="AA445" s="310"/>
      <c r="AB445" s="310"/>
      <c r="AC445" s="310"/>
      <c r="AD445" s="310"/>
      <c r="AE445" s="310"/>
      <c r="AH445" s="315"/>
    </row>
    <row r="446" spans="3:34" s="306" customFormat="1" ht="11.75" customHeight="1" x14ac:dyDescent="0.15">
      <c r="G446" s="307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  <c r="R446" s="310"/>
      <c r="S446" s="310"/>
      <c r="T446" s="310"/>
      <c r="U446" s="310"/>
      <c r="V446" s="310"/>
      <c r="W446" s="310"/>
      <c r="X446" s="310"/>
      <c r="Y446" s="310"/>
      <c r="Z446" s="310"/>
      <c r="AA446" s="310"/>
      <c r="AB446" s="310"/>
      <c r="AC446" s="310"/>
      <c r="AD446" s="310"/>
      <c r="AE446" s="310"/>
      <c r="AH446" s="315"/>
    </row>
    <row r="447" spans="3:34" s="306" customFormat="1" ht="11.75" customHeight="1" x14ac:dyDescent="0.15">
      <c r="G447" s="307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  <c r="R447" s="310"/>
      <c r="S447" s="310"/>
      <c r="T447" s="310"/>
      <c r="U447" s="310"/>
      <c r="V447" s="310"/>
      <c r="W447" s="310"/>
      <c r="X447" s="310"/>
      <c r="Y447" s="310"/>
      <c r="Z447" s="310"/>
      <c r="AA447" s="310"/>
      <c r="AB447" s="310"/>
      <c r="AC447" s="310"/>
      <c r="AD447" s="310"/>
      <c r="AE447" s="310"/>
    </row>
    <row r="448" spans="3:34" s="306" customFormat="1" ht="11.75" customHeight="1" x14ac:dyDescent="0.15">
      <c r="G448" s="307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  <c r="R448" s="310"/>
      <c r="S448" s="310"/>
      <c r="T448" s="310"/>
      <c r="U448" s="310"/>
      <c r="V448" s="310"/>
      <c r="W448" s="310"/>
      <c r="X448" s="310"/>
      <c r="Y448" s="310"/>
      <c r="Z448" s="310"/>
      <c r="AA448" s="310"/>
      <c r="AB448" s="310"/>
      <c r="AC448" s="310"/>
      <c r="AD448" s="310"/>
      <c r="AE448" s="310"/>
      <c r="AH448" s="315"/>
    </row>
    <row r="449" spans="3:44" s="306" customFormat="1" ht="11.75" customHeight="1" x14ac:dyDescent="0.15">
      <c r="G449" s="307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  <c r="R449" s="310"/>
      <c r="S449" s="310"/>
      <c r="T449" s="310"/>
      <c r="U449" s="310"/>
      <c r="V449" s="310"/>
      <c r="W449" s="310"/>
      <c r="X449" s="310"/>
      <c r="Y449" s="310"/>
      <c r="Z449" s="310"/>
      <c r="AA449" s="310"/>
      <c r="AB449" s="310"/>
      <c r="AC449" s="310"/>
      <c r="AD449" s="310"/>
      <c r="AE449" s="310"/>
    </row>
    <row r="450" spans="3:44" s="306" customFormat="1" ht="11.75" customHeight="1" x14ac:dyDescent="0.15">
      <c r="G450" s="307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  <c r="R450" s="310"/>
      <c r="S450" s="310"/>
      <c r="T450" s="310"/>
      <c r="U450" s="310"/>
      <c r="V450" s="310"/>
      <c r="W450" s="310"/>
      <c r="X450" s="310"/>
      <c r="Y450" s="310"/>
      <c r="Z450" s="310"/>
      <c r="AA450" s="310"/>
      <c r="AB450" s="310"/>
      <c r="AC450" s="310"/>
      <c r="AD450" s="310"/>
      <c r="AE450" s="310"/>
    </row>
    <row r="451" spans="3:44" s="306" customFormat="1" ht="11.75" customHeight="1" x14ac:dyDescent="0.15">
      <c r="G451" s="307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  <c r="R451" s="310"/>
      <c r="S451" s="310"/>
      <c r="T451" s="310"/>
      <c r="U451" s="310"/>
      <c r="V451" s="310"/>
      <c r="W451" s="310"/>
      <c r="X451" s="310"/>
      <c r="Y451" s="310"/>
      <c r="Z451" s="310"/>
      <c r="AA451" s="310"/>
      <c r="AB451" s="310"/>
      <c r="AC451" s="310"/>
      <c r="AD451" s="310"/>
      <c r="AE451" s="310"/>
      <c r="AH451" s="315"/>
    </row>
    <row r="452" spans="3:44" s="306" customFormat="1" ht="11.75" customHeight="1" x14ac:dyDescent="0.15">
      <c r="G452" s="307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  <c r="R452" s="310"/>
      <c r="S452" s="310"/>
      <c r="T452" s="310"/>
      <c r="U452" s="310"/>
      <c r="V452" s="310"/>
      <c r="W452" s="310"/>
      <c r="X452" s="310"/>
      <c r="Y452" s="310"/>
      <c r="Z452" s="310"/>
      <c r="AA452" s="310"/>
      <c r="AB452" s="310"/>
      <c r="AC452" s="310"/>
      <c r="AD452" s="310"/>
      <c r="AE452" s="310"/>
    </row>
    <row r="453" spans="3:44" s="306" customFormat="1" ht="11.75" customHeight="1" x14ac:dyDescent="0.15">
      <c r="C453" s="308"/>
      <c r="D453" s="308"/>
      <c r="E453" s="308"/>
      <c r="F453" s="308"/>
      <c r="G453" s="307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  <c r="R453" s="310"/>
      <c r="S453" s="310"/>
      <c r="T453" s="310"/>
      <c r="U453" s="310"/>
      <c r="V453" s="310"/>
      <c r="W453" s="310"/>
      <c r="X453" s="310"/>
      <c r="Y453" s="310"/>
      <c r="Z453" s="310"/>
      <c r="AA453" s="310"/>
      <c r="AB453" s="310"/>
      <c r="AC453" s="310"/>
      <c r="AD453" s="310"/>
      <c r="AE453" s="310"/>
    </row>
    <row r="454" spans="3:44" s="306" customFormat="1" ht="11.75" customHeight="1" x14ac:dyDescent="0.15">
      <c r="G454" s="307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  <c r="R454" s="310"/>
      <c r="S454" s="310"/>
      <c r="T454" s="310"/>
      <c r="U454" s="310"/>
      <c r="V454" s="310"/>
      <c r="W454" s="310"/>
      <c r="X454" s="310"/>
      <c r="Y454" s="310"/>
      <c r="Z454" s="310"/>
      <c r="AA454" s="310"/>
      <c r="AB454" s="310"/>
      <c r="AC454" s="310"/>
      <c r="AD454" s="310"/>
      <c r="AE454" s="310"/>
    </row>
    <row r="455" spans="3:44" s="306" customFormat="1" ht="11.75" customHeight="1" x14ac:dyDescent="0.15">
      <c r="G455" s="307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  <c r="R455" s="310"/>
      <c r="S455" s="310"/>
      <c r="T455" s="310"/>
      <c r="U455" s="310"/>
      <c r="V455" s="310"/>
      <c r="W455" s="310"/>
      <c r="X455" s="310"/>
      <c r="Y455" s="310"/>
      <c r="Z455" s="310"/>
      <c r="AA455" s="310"/>
      <c r="AB455" s="310"/>
      <c r="AC455" s="310"/>
      <c r="AD455" s="310"/>
      <c r="AE455" s="310"/>
    </row>
    <row r="456" spans="3:44" s="306" customFormat="1" ht="11.75" customHeight="1" x14ac:dyDescent="0.15">
      <c r="G456" s="307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  <c r="R456" s="310"/>
      <c r="S456" s="310"/>
      <c r="T456" s="310"/>
      <c r="U456" s="310"/>
      <c r="V456" s="310"/>
      <c r="W456" s="310"/>
      <c r="X456" s="310"/>
      <c r="Y456" s="310"/>
      <c r="Z456" s="310"/>
      <c r="AA456" s="310"/>
      <c r="AB456" s="310"/>
      <c r="AC456" s="310"/>
      <c r="AD456" s="310"/>
      <c r="AE456" s="310"/>
    </row>
    <row r="457" spans="3:44" s="306" customFormat="1" ht="11.75" customHeight="1" x14ac:dyDescent="0.15">
      <c r="G457" s="307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  <c r="R457" s="310"/>
      <c r="S457" s="310"/>
      <c r="T457" s="310"/>
      <c r="U457" s="310"/>
      <c r="V457" s="310"/>
      <c r="W457" s="310"/>
      <c r="X457" s="310"/>
      <c r="Y457" s="310"/>
      <c r="Z457" s="310"/>
      <c r="AA457" s="310"/>
      <c r="AB457" s="310"/>
      <c r="AC457" s="310"/>
      <c r="AD457" s="310"/>
      <c r="AE457" s="310"/>
    </row>
    <row r="458" spans="3:44" s="306" customFormat="1" ht="11.75" customHeight="1" x14ac:dyDescent="0.15">
      <c r="G458" s="307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  <c r="R458" s="310"/>
      <c r="S458" s="310"/>
      <c r="T458" s="310"/>
      <c r="U458" s="310"/>
      <c r="V458" s="310"/>
      <c r="W458" s="310"/>
      <c r="X458" s="310"/>
      <c r="Y458" s="310"/>
      <c r="Z458" s="310"/>
      <c r="AA458" s="310"/>
      <c r="AB458" s="310"/>
      <c r="AC458" s="310"/>
      <c r="AD458" s="310"/>
      <c r="AE458" s="310"/>
      <c r="AH458" s="315"/>
      <c r="AR458" s="315"/>
    </row>
    <row r="459" spans="3:44" s="306" customFormat="1" ht="11.75" customHeight="1" x14ac:dyDescent="0.15">
      <c r="G459" s="307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  <c r="R459" s="310"/>
      <c r="S459" s="310"/>
      <c r="T459" s="310"/>
      <c r="U459" s="310"/>
      <c r="V459" s="310"/>
      <c r="W459" s="310"/>
      <c r="X459" s="310"/>
      <c r="Y459" s="310"/>
      <c r="Z459" s="310"/>
      <c r="AA459" s="310"/>
      <c r="AB459" s="310"/>
      <c r="AC459" s="310"/>
      <c r="AD459" s="310"/>
      <c r="AE459" s="310"/>
    </row>
    <row r="460" spans="3:44" s="306" customFormat="1" ht="11.75" customHeight="1" x14ac:dyDescent="0.15">
      <c r="G460" s="307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  <c r="R460" s="310"/>
      <c r="S460" s="310"/>
      <c r="T460" s="310"/>
      <c r="U460" s="310"/>
      <c r="V460" s="310"/>
      <c r="W460" s="310"/>
      <c r="X460" s="310"/>
      <c r="Y460" s="310"/>
      <c r="Z460" s="310"/>
      <c r="AA460" s="310"/>
      <c r="AB460" s="310"/>
      <c r="AC460" s="310"/>
      <c r="AD460" s="310"/>
      <c r="AE460" s="310"/>
    </row>
    <row r="461" spans="3:44" s="306" customFormat="1" ht="11.75" customHeight="1" x14ac:dyDescent="0.15">
      <c r="G461" s="307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  <c r="R461" s="310"/>
      <c r="S461" s="310"/>
      <c r="T461" s="310"/>
      <c r="U461" s="310"/>
      <c r="V461" s="310"/>
      <c r="W461" s="310"/>
      <c r="X461" s="310"/>
      <c r="Y461" s="310"/>
      <c r="Z461" s="310"/>
      <c r="AA461" s="310"/>
      <c r="AB461" s="310"/>
      <c r="AC461" s="310"/>
      <c r="AD461" s="310"/>
      <c r="AE461" s="310"/>
    </row>
    <row r="462" spans="3:44" s="306" customFormat="1" ht="11.75" customHeight="1" x14ac:dyDescent="0.15">
      <c r="G462" s="307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  <c r="R462" s="310"/>
      <c r="S462" s="310"/>
      <c r="T462" s="310"/>
      <c r="U462" s="310"/>
      <c r="V462" s="310"/>
      <c r="W462" s="310"/>
      <c r="X462" s="310"/>
      <c r="Y462" s="310"/>
      <c r="Z462" s="310"/>
      <c r="AA462" s="310"/>
      <c r="AB462" s="310"/>
      <c r="AC462" s="310"/>
      <c r="AD462" s="310"/>
      <c r="AE462" s="310"/>
    </row>
    <row r="463" spans="3:44" s="306" customFormat="1" ht="11.75" customHeight="1" x14ac:dyDescent="0.15">
      <c r="G463" s="307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  <c r="R463" s="310"/>
      <c r="S463" s="310"/>
      <c r="T463" s="310"/>
      <c r="U463" s="310"/>
      <c r="V463" s="310"/>
      <c r="W463" s="310"/>
      <c r="X463" s="310"/>
      <c r="Y463" s="310"/>
      <c r="Z463" s="310"/>
      <c r="AA463" s="310"/>
      <c r="AB463" s="310"/>
      <c r="AC463" s="310"/>
      <c r="AD463" s="310"/>
      <c r="AE463" s="310"/>
    </row>
    <row r="464" spans="3:44" s="306" customFormat="1" ht="11.75" customHeight="1" x14ac:dyDescent="0.15">
      <c r="G464" s="307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  <c r="R464" s="310"/>
      <c r="S464" s="310"/>
      <c r="T464" s="310"/>
      <c r="U464" s="310"/>
      <c r="V464" s="310"/>
      <c r="W464" s="310"/>
      <c r="X464" s="310"/>
      <c r="Y464" s="310"/>
      <c r="Z464" s="310"/>
      <c r="AA464" s="310"/>
      <c r="AB464" s="310"/>
      <c r="AC464" s="310"/>
      <c r="AD464" s="310"/>
      <c r="AE464" s="310"/>
    </row>
    <row r="465" spans="3:57" s="306" customFormat="1" ht="11.75" customHeight="1" x14ac:dyDescent="0.15">
      <c r="G465" s="307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  <c r="R465" s="310"/>
      <c r="S465" s="310"/>
      <c r="T465" s="310"/>
      <c r="U465" s="310"/>
      <c r="V465" s="310"/>
      <c r="W465" s="310"/>
      <c r="X465" s="310"/>
      <c r="Y465" s="310"/>
      <c r="Z465" s="310"/>
      <c r="AA465" s="310"/>
      <c r="AB465" s="310"/>
      <c r="AC465" s="310"/>
      <c r="AD465" s="310"/>
      <c r="AE465" s="310"/>
    </row>
    <row r="466" spans="3:57" s="306" customFormat="1" ht="11.75" customHeight="1" x14ac:dyDescent="0.15">
      <c r="G466" s="307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  <c r="R466" s="310"/>
      <c r="S466" s="310"/>
      <c r="T466" s="310"/>
      <c r="U466" s="310"/>
      <c r="V466" s="310"/>
      <c r="W466" s="310"/>
      <c r="X466" s="310"/>
      <c r="Y466" s="310"/>
      <c r="Z466" s="310"/>
      <c r="AA466" s="310"/>
      <c r="AB466" s="310"/>
      <c r="AC466" s="310"/>
      <c r="AD466" s="310"/>
      <c r="AE466" s="310"/>
    </row>
    <row r="467" spans="3:57" s="306" customFormat="1" ht="11.75" customHeight="1" x14ac:dyDescent="0.15">
      <c r="G467" s="307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  <c r="R467" s="310"/>
      <c r="S467" s="310"/>
      <c r="T467" s="310"/>
      <c r="U467" s="310"/>
      <c r="V467" s="310"/>
      <c r="W467" s="310"/>
      <c r="X467" s="310"/>
      <c r="Y467" s="310"/>
      <c r="Z467" s="310"/>
      <c r="AA467" s="310"/>
      <c r="AB467" s="310"/>
      <c r="AC467" s="310"/>
      <c r="AD467" s="310"/>
      <c r="AE467" s="310"/>
    </row>
    <row r="468" spans="3:57" s="306" customFormat="1" ht="11.75" customHeight="1" x14ac:dyDescent="0.15"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  <c r="Z468" s="307"/>
      <c r="AA468" s="307"/>
      <c r="AB468" s="307"/>
      <c r="AC468" s="307"/>
      <c r="AD468" s="307"/>
      <c r="AE468" s="307"/>
    </row>
    <row r="469" spans="3:57" s="306" customFormat="1" ht="11.75" customHeight="1" x14ac:dyDescent="0.15"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  <c r="AA469" s="307"/>
      <c r="AB469" s="307"/>
      <c r="AC469" s="307"/>
      <c r="AD469" s="307"/>
      <c r="AE469" s="307"/>
    </row>
    <row r="470" spans="3:57" s="306" customFormat="1" ht="11.75" customHeight="1" x14ac:dyDescent="0.15"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  <c r="Z470" s="307"/>
      <c r="AA470" s="307"/>
      <c r="AB470" s="307"/>
      <c r="AC470" s="307"/>
      <c r="AD470" s="307"/>
      <c r="AE470" s="307"/>
    </row>
    <row r="471" spans="3:57" s="306" customFormat="1" ht="11.75" customHeight="1" x14ac:dyDescent="0.15">
      <c r="C471" s="31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  <c r="Z471" s="307"/>
      <c r="AA471" s="307"/>
      <c r="AB471" s="307"/>
      <c r="AC471" s="307"/>
      <c r="AD471" s="307"/>
      <c r="AE471" s="307"/>
    </row>
    <row r="472" spans="3:57" s="306" customFormat="1" ht="11.75" customHeight="1" x14ac:dyDescent="0.15"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  <c r="Z472" s="307"/>
      <c r="AA472" s="307"/>
      <c r="AB472" s="307"/>
      <c r="AC472" s="307"/>
      <c r="AD472" s="307"/>
      <c r="AE472" s="307"/>
      <c r="AH472" s="317"/>
      <c r="AU472" s="317"/>
    </row>
    <row r="473" spans="3:57" s="306" customFormat="1" ht="11.75" customHeight="1" x14ac:dyDescent="0.15">
      <c r="C473" s="308"/>
      <c r="D473" s="308"/>
      <c r="E473" s="308"/>
      <c r="F473" s="308"/>
      <c r="G473" s="308"/>
      <c r="H473" s="308"/>
      <c r="I473" s="308"/>
      <c r="J473" s="308"/>
      <c r="K473" s="308"/>
      <c r="L473" s="308"/>
      <c r="M473" s="308"/>
      <c r="N473" s="308"/>
      <c r="O473" s="308"/>
      <c r="P473" s="308"/>
      <c r="Q473" s="308"/>
      <c r="R473" s="308"/>
      <c r="S473" s="308"/>
      <c r="T473" s="308"/>
      <c r="U473" s="308"/>
      <c r="V473" s="308"/>
      <c r="W473" s="308"/>
      <c r="X473" s="308"/>
      <c r="Y473" s="308"/>
      <c r="Z473" s="308"/>
      <c r="AA473" s="308"/>
      <c r="AB473" s="308"/>
      <c r="AC473" s="308"/>
      <c r="AD473" s="308"/>
      <c r="AE473" s="308"/>
    </row>
    <row r="474" spans="3:57" s="306" customFormat="1" ht="11.75" customHeight="1" x14ac:dyDescent="0.15">
      <c r="C474" s="308"/>
      <c r="D474" s="308"/>
      <c r="E474" s="308"/>
      <c r="F474" s="308"/>
      <c r="G474" s="308"/>
      <c r="H474" s="308"/>
      <c r="I474" s="308"/>
      <c r="J474" s="308"/>
      <c r="K474" s="308"/>
      <c r="L474" s="308"/>
      <c r="M474" s="308"/>
      <c r="N474" s="308"/>
      <c r="O474" s="308"/>
      <c r="P474" s="308"/>
      <c r="Q474" s="308"/>
      <c r="R474" s="308"/>
      <c r="S474" s="308"/>
      <c r="T474" s="308"/>
      <c r="U474" s="308"/>
      <c r="V474" s="308"/>
      <c r="W474" s="308"/>
      <c r="X474" s="308"/>
      <c r="Y474" s="308"/>
      <c r="Z474" s="308"/>
      <c r="AA474" s="308"/>
      <c r="AB474" s="308"/>
      <c r="AC474" s="308"/>
      <c r="AD474" s="308"/>
      <c r="AE474" s="308"/>
      <c r="AH474" s="317"/>
      <c r="AJ474" s="307"/>
      <c r="AK474" s="307"/>
      <c r="AL474" s="307"/>
      <c r="AM474" s="307"/>
      <c r="AN474" s="307"/>
      <c r="AO474" s="307"/>
      <c r="AP474" s="307"/>
      <c r="AQ474" s="307"/>
      <c r="AR474" s="307"/>
      <c r="AU474" s="317"/>
      <c r="AW474" s="307"/>
      <c r="AX474" s="307"/>
      <c r="AY474" s="307"/>
      <c r="AZ474" s="307"/>
      <c r="BA474" s="307"/>
      <c r="BB474" s="307"/>
      <c r="BC474" s="307"/>
      <c r="BD474" s="307"/>
      <c r="BE474" s="307"/>
    </row>
    <row r="475" spans="3:57" s="306" customFormat="1" ht="11.75" customHeight="1" x14ac:dyDescent="0.15">
      <c r="C475" s="308"/>
      <c r="D475" s="308"/>
      <c r="E475" s="308"/>
      <c r="F475" s="308"/>
      <c r="G475" s="308"/>
      <c r="H475" s="308"/>
      <c r="I475" s="308"/>
      <c r="J475" s="308"/>
      <c r="K475" s="308"/>
      <c r="L475" s="308"/>
      <c r="M475" s="308"/>
      <c r="N475" s="308"/>
      <c r="O475" s="308"/>
      <c r="P475" s="308"/>
      <c r="Q475" s="308"/>
      <c r="R475" s="308"/>
      <c r="S475" s="308"/>
      <c r="T475" s="308"/>
      <c r="U475" s="308"/>
      <c r="V475" s="308"/>
      <c r="W475" s="308"/>
      <c r="X475" s="308"/>
      <c r="Y475" s="308"/>
      <c r="Z475" s="308"/>
      <c r="AA475" s="308"/>
      <c r="AB475" s="308"/>
      <c r="AC475" s="308"/>
      <c r="AD475" s="308"/>
      <c r="AE475" s="308"/>
      <c r="AJ475" s="307"/>
      <c r="AK475" s="324"/>
      <c r="AL475" s="324"/>
      <c r="AM475" s="324"/>
      <c r="AN475" s="324"/>
      <c r="AO475" s="324"/>
      <c r="AP475" s="324"/>
      <c r="AQ475" s="324"/>
      <c r="AR475" s="324"/>
      <c r="AW475" s="307"/>
      <c r="AX475" s="324"/>
      <c r="AY475" s="324"/>
      <c r="AZ475" s="324"/>
      <c r="BA475" s="324"/>
      <c r="BB475" s="324"/>
      <c r="BC475" s="324"/>
      <c r="BD475" s="324"/>
      <c r="BE475" s="324"/>
    </row>
    <row r="476" spans="3:57" s="306" customFormat="1" ht="11.75" customHeight="1" x14ac:dyDescent="0.15">
      <c r="C476" s="318"/>
      <c r="D476" s="318"/>
      <c r="E476" s="307"/>
      <c r="F476" s="307"/>
      <c r="G476" s="307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  <c r="R476" s="310"/>
      <c r="S476" s="310"/>
      <c r="T476" s="310"/>
      <c r="U476" s="310"/>
      <c r="V476" s="310"/>
      <c r="W476" s="310"/>
      <c r="X476" s="310"/>
      <c r="Y476" s="310"/>
      <c r="Z476" s="310"/>
      <c r="AA476" s="310"/>
      <c r="AB476" s="310"/>
      <c r="AC476" s="310"/>
      <c r="AD476" s="310"/>
      <c r="AE476" s="310"/>
      <c r="AJ476" s="307"/>
      <c r="AK476" s="307"/>
      <c r="AL476" s="307"/>
      <c r="AM476" s="307"/>
      <c r="AN476" s="307"/>
      <c r="AO476" s="307"/>
      <c r="AP476" s="307"/>
      <c r="AQ476" s="307"/>
      <c r="AR476" s="307"/>
      <c r="AW476" s="307"/>
      <c r="AX476" s="307"/>
      <c r="AY476" s="307"/>
      <c r="AZ476" s="307"/>
      <c r="BA476" s="307"/>
      <c r="BB476" s="307"/>
      <c r="BC476" s="307"/>
      <c r="BD476" s="307"/>
      <c r="BE476" s="307"/>
    </row>
    <row r="477" spans="3:57" s="306" customFormat="1" ht="11.75" customHeight="1" x14ac:dyDescent="0.15">
      <c r="C477" s="308"/>
      <c r="D477" s="308"/>
      <c r="E477" s="308"/>
      <c r="F477" s="308"/>
      <c r="G477" s="308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  <c r="R477" s="310"/>
      <c r="S477" s="310"/>
      <c r="T477" s="310"/>
      <c r="U477" s="310"/>
      <c r="V477" s="310"/>
      <c r="W477" s="310"/>
      <c r="X477" s="310"/>
      <c r="Y477" s="310"/>
      <c r="Z477" s="310"/>
      <c r="AA477" s="310"/>
      <c r="AB477" s="310"/>
      <c r="AC477" s="310"/>
      <c r="AD477" s="310"/>
      <c r="AE477" s="310"/>
      <c r="AJ477" s="307"/>
      <c r="AK477" s="307"/>
      <c r="AL477" s="307"/>
      <c r="AM477" s="307"/>
      <c r="AN477" s="307"/>
      <c r="AO477" s="307"/>
      <c r="AP477" s="307"/>
      <c r="AQ477" s="307"/>
      <c r="AR477" s="307"/>
      <c r="AW477" s="307"/>
      <c r="AX477" s="307"/>
      <c r="AY477" s="307"/>
      <c r="AZ477" s="307"/>
      <c r="BA477" s="307"/>
      <c r="BB477" s="307"/>
      <c r="BC477" s="307"/>
      <c r="BD477" s="307"/>
      <c r="BE477" s="307"/>
    </row>
    <row r="478" spans="3:57" s="306" customFormat="1" ht="11.75" customHeight="1" x14ac:dyDescent="0.15">
      <c r="G478" s="307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  <c r="R478" s="310"/>
      <c r="S478" s="310"/>
      <c r="T478" s="310"/>
      <c r="U478" s="310"/>
      <c r="V478" s="310"/>
      <c r="W478" s="310"/>
      <c r="X478" s="310"/>
      <c r="Y478" s="310"/>
      <c r="Z478" s="310"/>
      <c r="AA478" s="310"/>
      <c r="AB478" s="310"/>
      <c r="AC478" s="310"/>
      <c r="AD478" s="310"/>
      <c r="AE478" s="310"/>
      <c r="AJ478" s="307"/>
      <c r="AK478" s="325"/>
      <c r="AL478" s="307"/>
      <c r="AM478" s="307"/>
      <c r="AN478" s="307"/>
      <c r="AO478" s="307"/>
      <c r="AP478" s="307"/>
      <c r="AQ478" s="307"/>
      <c r="AR478" s="307"/>
      <c r="AW478" s="307"/>
      <c r="AX478" s="325"/>
      <c r="AY478" s="307"/>
      <c r="AZ478" s="307"/>
      <c r="BA478" s="307"/>
      <c r="BB478" s="307"/>
      <c r="BC478" s="307"/>
      <c r="BD478" s="307"/>
      <c r="BE478" s="307"/>
    </row>
    <row r="479" spans="3:57" s="306" customFormat="1" ht="11.75" customHeight="1" x14ac:dyDescent="0.15">
      <c r="C479" s="321"/>
      <c r="G479" s="307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  <c r="R479" s="310"/>
      <c r="S479" s="310"/>
      <c r="T479" s="310"/>
      <c r="U479" s="310"/>
      <c r="V479" s="310"/>
      <c r="W479" s="310"/>
      <c r="X479" s="310"/>
      <c r="Y479" s="310"/>
      <c r="Z479" s="310"/>
      <c r="AA479" s="310"/>
      <c r="AB479" s="310"/>
      <c r="AC479" s="310"/>
      <c r="AD479" s="310"/>
      <c r="AE479" s="310"/>
      <c r="AJ479" s="307"/>
      <c r="AK479" s="307"/>
      <c r="AL479" s="307"/>
      <c r="AM479" s="307"/>
      <c r="AN479" s="307"/>
      <c r="AO479" s="307"/>
      <c r="AP479" s="307"/>
      <c r="AQ479" s="307"/>
      <c r="AR479" s="307"/>
      <c r="AW479" s="307"/>
      <c r="AX479" s="307"/>
      <c r="AY479" s="307"/>
      <c r="AZ479" s="307"/>
      <c r="BA479" s="307"/>
      <c r="BB479" s="307"/>
      <c r="BC479" s="307"/>
      <c r="BD479" s="307"/>
      <c r="BE479" s="307"/>
    </row>
    <row r="480" spans="3:57" s="306" customFormat="1" ht="11.75" customHeight="1" x14ac:dyDescent="0.15">
      <c r="G480" s="307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  <c r="R480" s="310"/>
      <c r="S480" s="310"/>
      <c r="T480" s="310"/>
      <c r="U480" s="310"/>
      <c r="V480" s="310"/>
      <c r="W480" s="310"/>
      <c r="X480" s="310"/>
      <c r="Y480" s="310"/>
      <c r="Z480" s="310"/>
      <c r="AA480" s="310"/>
      <c r="AB480" s="310"/>
      <c r="AC480" s="310"/>
      <c r="AD480" s="310"/>
      <c r="AE480" s="310"/>
      <c r="AJ480" s="307"/>
      <c r="AK480" s="307"/>
      <c r="AL480" s="307"/>
      <c r="AM480" s="307"/>
      <c r="AN480" s="307"/>
      <c r="AO480" s="307"/>
      <c r="AP480" s="307"/>
      <c r="AQ480" s="307"/>
      <c r="AR480" s="307"/>
      <c r="AW480" s="307"/>
      <c r="AX480" s="307"/>
      <c r="AY480" s="307"/>
      <c r="AZ480" s="307"/>
      <c r="BA480" s="307"/>
      <c r="BB480" s="307"/>
      <c r="BC480" s="307"/>
      <c r="BD480" s="307"/>
      <c r="BE480" s="307"/>
    </row>
    <row r="481" spans="3:57" s="306" customFormat="1" ht="11.75" customHeight="1" x14ac:dyDescent="0.15">
      <c r="G481" s="307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  <c r="R481" s="310"/>
      <c r="S481" s="310"/>
      <c r="T481" s="310"/>
      <c r="U481" s="310"/>
      <c r="V481" s="310"/>
      <c r="W481" s="310"/>
      <c r="X481" s="310"/>
      <c r="Y481" s="310"/>
      <c r="Z481" s="310"/>
      <c r="AA481" s="310"/>
      <c r="AB481" s="310"/>
      <c r="AC481" s="310"/>
      <c r="AD481" s="310"/>
      <c r="AE481" s="310"/>
      <c r="AJ481" s="307"/>
      <c r="AK481" s="307"/>
      <c r="AL481" s="307"/>
      <c r="AM481" s="307"/>
      <c r="AN481" s="307"/>
      <c r="AO481" s="307"/>
      <c r="AP481" s="307"/>
      <c r="AQ481" s="307"/>
      <c r="AR481" s="307"/>
      <c r="AW481" s="307"/>
      <c r="AX481" s="307"/>
      <c r="AY481" s="307"/>
      <c r="AZ481" s="307"/>
      <c r="BA481" s="307"/>
      <c r="BB481" s="307"/>
      <c r="BC481" s="307"/>
      <c r="BD481" s="307"/>
      <c r="BE481" s="307"/>
    </row>
    <row r="482" spans="3:57" s="306" customFormat="1" ht="11.75" customHeight="1" x14ac:dyDescent="0.15">
      <c r="G482" s="307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  <c r="R482" s="310"/>
      <c r="S482" s="310"/>
      <c r="T482" s="310"/>
      <c r="U482" s="310"/>
      <c r="V482" s="310"/>
      <c r="W482" s="310"/>
      <c r="X482" s="310"/>
      <c r="Y482" s="310"/>
      <c r="Z482" s="310"/>
      <c r="AA482" s="310"/>
      <c r="AB482" s="310"/>
      <c r="AC482" s="310"/>
      <c r="AD482" s="310"/>
      <c r="AE482" s="310"/>
      <c r="AJ482" s="307"/>
      <c r="AK482" s="307"/>
      <c r="AL482" s="307"/>
      <c r="AM482" s="307"/>
      <c r="AN482" s="307"/>
      <c r="AO482" s="307"/>
      <c r="AP482" s="307"/>
      <c r="AQ482" s="307"/>
      <c r="AR482" s="307"/>
      <c r="AW482" s="307"/>
      <c r="AX482" s="307"/>
      <c r="AY482" s="307"/>
      <c r="AZ482" s="307"/>
      <c r="BA482" s="307"/>
      <c r="BB482" s="307"/>
      <c r="BC482" s="307"/>
      <c r="BD482" s="307"/>
      <c r="BE482" s="307"/>
    </row>
    <row r="483" spans="3:57" s="306" customFormat="1" ht="11.75" customHeight="1" x14ac:dyDescent="0.15">
      <c r="G483" s="307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  <c r="R483" s="310"/>
      <c r="S483" s="310"/>
      <c r="T483" s="310"/>
      <c r="U483" s="310"/>
      <c r="V483" s="310"/>
      <c r="W483" s="310"/>
      <c r="X483" s="310"/>
      <c r="Y483" s="310"/>
      <c r="Z483" s="310"/>
      <c r="AA483" s="310"/>
      <c r="AB483" s="310"/>
      <c r="AC483" s="310"/>
      <c r="AD483" s="310"/>
      <c r="AE483" s="310"/>
      <c r="AJ483" s="307"/>
      <c r="AK483" s="307"/>
      <c r="AL483" s="307"/>
      <c r="AM483" s="307"/>
      <c r="AN483" s="307"/>
      <c r="AO483" s="307"/>
      <c r="AP483" s="307"/>
      <c r="AQ483" s="307"/>
      <c r="AR483" s="307"/>
      <c r="AW483" s="307"/>
      <c r="AX483" s="307"/>
      <c r="AY483" s="307"/>
      <c r="AZ483" s="307"/>
      <c r="BA483" s="307"/>
      <c r="BB483" s="307"/>
      <c r="BC483" s="307"/>
      <c r="BD483" s="307"/>
      <c r="BE483" s="307"/>
    </row>
    <row r="484" spans="3:57" s="306" customFormat="1" ht="11.75" customHeight="1" x14ac:dyDescent="0.15">
      <c r="G484" s="307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  <c r="R484" s="310"/>
      <c r="S484" s="310"/>
      <c r="T484" s="310"/>
      <c r="U484" s="310"/>
      <c r="V484" s="310"/>
      <c r="W484" s="310"/>
      <c r="X484" s="310"/>
      <c r="Y484" s="310"/>
      <c r="Z484" s="310"/>
      <c r="AA484" s="310"/>
      <c r="AB484" s="310"/>
      <c r="AC484" s="310"/>
      <c r="AD484" s="310"/>
      <c r="AE484" s="310"/>
      <c r="AJ484" s="307"/>
      <c r="AK484" s="307"/>
      <c r="AL484" s="307"/>
      <c r="AM484" s="307"/>
      <c r="AN484" s="307"/>
      <c r="AO484" s="307"/>
      <c r="AP484" s="307"/>
      <c r="AQ484" s="307"/>
      <c r="AR484" s="307"/>
      <c r="AW484" s="307"/>
      <c r="AX484" s="307"/>
      <c r="AY484" s="307"/>
      <c r="AZ484" s="307"/>
      <c r="BA484" s="307"/>
      <c r="BB484" s="307"/>
      <c r="BC484" s="307"/>
      <c r="BD484" s="307"/>
      <c r="BE484" s="307"/>
    </row>
    <row r="485" spans="3:57" s="306" customFormat="1" ht="11.75" customHeight="1" x14ac:dyDescent="0.15">
      <c r="C485" s="308"/>
      <c r="D485" s="308"/>
      <c r="E485" s="308"/>
      <c r="F485" s="308"/>
      <c r="G485" s="307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  <c r="R485" s="310"/>
      <c r="S485" s="310"/>
      <c r="T485" s="310"/>
      <c r="U485" s="310"/>
      <c r="V485" s="310"/>
      <c r="W485" s="310"/>
      <c r="X485" s="310"/>
      <c r="Y485" s="310"/>
      <c r="Z485" s="310"/>
      <c r="AA485" s="310"/>
      <c r="AB485" s="310"/>
      <c r="AC485" s="310"/>
      <c r="AD485" s="310"/>
      <c r="AE485" s="310"/>
      <c r="AJ485" s="307"/>
      <c r="AK485" s="307"/>
      <c r="AL485" s="307"/>
      <c r="AM485" s="307"/>
      <c r="AN485" s="307"/>
      <c r="AO485" s="307"/>
      <c r="AP485" s="307"/>
      <c r="AQ485" s="307"/>
      <c r="AR485" s="307"/>
      <c r="AW485" s="307"/>
      <c r="AX485" s="307"/>
      <c r="AY485" s="307"/>
      <c r="AZ485" s="307"/>
      <c r="BA485" s="307"/>
      <c r="BB485" s="307"/>
      <c r="BC485" s="307"/>
      <c r="BD485" s="307"/>
      <c r="BE485" s="307"/>
    </row>
    <row r="486" spans="3:57" s="306" customFormat="1" ht="11.75" customHeight="1" x14ac:dyDescent="0.15">
      <c r="G486" s="307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  <c r="R486" s="310"/>
      <c r="S486" s="310"/>
      <c r="T486" s="310"/>
      <c r="U486" s="310"/>
      <c r="V486" s="310"/>
      <c r="W486" s="310"/>
      <c r="X486" s="310"/>
      <c r="Y486" s="310"/>
      <c r="Z486" s="310"/>
      <c r="AA486" s="310"/>
      <c r="AB486" s="310"/>
      <c r="AC486" s="310"/>
      <c r="AD486" s="310"/>
      <c r="AE486" s="310"/>
      <c r="AJ486" s="307"/>
      <c r="AK486" s="326"/>
      <c r="AL486" s="307"/>
      <c r="AM486" s="307"/>
      <c r="AN486" s="307"/>
      <c r="AO486" s="307"/>
      <c r="AP486" s="307"/>
      <c r="AQ486" s="307"/>
      <c r="AR486" s="307"/>
      <c r="AW486" s="307"/>
      <c r="AX486" s="326"/>
      <c r="AY486" s="307"/>
      <c r="AZ486" s="307"/>
      <c r="BA486" s="307"/>
      <c r="BB486" s="307"/>
      <c r="BC486" s="307"/>
      <c r="BD486" s="307"/>
      <c r="BE486" s="307"/>
    </row>
    <row r="487" spans="3:57" s="306" customFormat="1" ht="11.75" customHeight="1" x14ac:dyDescent="0.15">
      <c r="G487" s="307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  <c r="R487" s="310"/>
      <c r="S487" s="310"/>
      <c r="T487" s="310"/>
      <c r="U487" s="310"/>
      <c r="V487" s="310"/>
      <c r="W487" s="310"/>
      <c r="X487" s="310"/>
      <c r="Y487" s="310"/>
      <c r="Z487" s="310"/>
      <c r="AA487" s="310"/>
      <c r="AB487" s="310"/>
      <c r="AC487" s="310"/>
      <c r="AD487" s="310"/>
      <c r="AE487" s="310"/>
      <c r="AJ487" s="307"/>
      <c r="AK487" s="307"/>
      <c r="AL487" s="307"/>
      <c r="AM487" s="307"/>
      <c r="AN487" s="307"/>
      <c r="AO487" s="307"/>
      <c r="AP487" s="307"/>
      <c r="AQ487" s="307"/>
      <c r="AR487" s="307"/>
      <c r="AW487" s="307"/>
      <c r="AX487" s="307"/>
      <c r="AY487" s="307"/>
      <c r="AZ487" s="307"/>
      <c r="BA487" s="307"/>
      <c r="BB487" s="307"/>
      <c r="BC487" s="307"/>
      <c r="BD487" s="307"/>
      <c r="BE487" s="307"/>
    </row>
    <row r="488" spans="3:57" s="306" customFormat="1" ht="11.75" customHeight="1" x14ac:dyDescent="0.15">
      <c r="G488" s="307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  <c r="R488" s="310"/>
      <c r="S488" s="310"/>
      <c r="T488" s="310"/>
      <c r="U488" s="310"/>
      <c r="V488" s="310"/>
      <c r="W488" s="310"/>
      <c r="X488" s="310"/>
      <c r="Y488" s="310"/>
      <c r="Z488" s="310"/>
      <c r="AA488" s="310"/>
      <c r="AB488" s="310"/>
      <c r="AC488" s="310"/>
      <c r="AD488" s="310"/>
      <c r="AE488" s="310"/>
      <c r="AJ488" s="307"/>
      <c r="AK488" s="313"/>
      <c r="AL488" s="313"/>
      <c r="AM488" s="313"/>
      <c r="AN488" s="313"/>
      <c r="AO488" s="313"/>
      <c r="AP488" s="313"/>
      <c r="AQ488" s="313"/>
      <c r="AR488" s="313"/>
      <c r="AW488" s="307"/>
      <c r="AX488" s="313"/>
      <c r="AY488" s="313"/>
      <c r="AZ488" s="313"/>
      <c r="BA488" s="313"/>
      <c r="BB488" s="313"/>
      <c r="BC488" s="313"/>
      <c r="BD488" s="313"/>
      <c r="BE488" s="313"/>
    </row>
    <row r="489" spans="3:57" s="306" customFormat="1" ht="11.75" customHeight="1" x14ac:dyDescent="0.15">
      <c r="G489" s="307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  <c r="R489" s="310"/>
      <c r="S489" s="310"/>
      <c r="T489" s="310"/>
      <c r="U489" s="310"/>
      <c r="V489" s="310"/>
      <c r="W489" s="310"/>
      <c r="X489" s="310"/>
      <c r="Y489" s="310"/>
      <c r="Z489" s="310"/>
      <c r="AA489" s="310"/>
      <c r="AB489" s="310"/>
      <c r="AC489" s="310"/>
      <c r="AD489" s="310"/>
      <c r="AE489" s="310"/>
      <c r="AJ489" s="307"/>
      <c r="AK489" s="307"/>
      <c r="AL489" s="307"/>
      <c r="AM489" s="307"/>
      <c r="AN489" s="307"/>
      <c r="AO489" s="307"/>
      <c r="AP489" s="307"/>
      <c r="AQ489" s="307"/>
      <c r="AR489" s="307"/>
      <c r="AW489" s="307"/>
      <c r="AX489" s="307"/>
      <c r="AY489" s="307"/>
      <c r="AZ489" s="307"/>
      <c r="BA489" s="307"/>
      <c r="BB489" s="307"/>
      <c r="BC489" s="307"/>
      <c r="BD489" s="307"/>
      <c r="BE489" s="307"/>
    </row>
    <row r="490" spans="3:57" s="306" customFormat="1" ht="11.75" customHeight="1" x14ac:dyDescent="0.15">
      <c r="G490" s="307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  <c r="R490" s="310"/>
      <c r="S490" s="310"/>
      <c r="T490" s="310"/>
      <c r="U490" s="310"/>
      <c r="V490" s="310"/>
      <c r="W490" s="310"/>
      <c r="X490" s="310"/>
      <c r="Y490" s="310"/>
      <c r="Z490" s="310"/>
      <c r="AA490" s="310"/>
      <c r="AB490" s="310"/>
      <c r="AC490" s="310"/>
      <c r="AD490" s="310"/>
      <c r="AE490" s="310"/>
      <c r="AH490" s="317"/>
      <c r="AJ490" s="307"/>
      <c r="AK490" s="307"/>
      <c r="AL490" s="307"/>
      <c r="AM490" s="307"/>
      <c r="AN490" s="307"/>
      <c r="AO490" s="307"/>
      <c r="AP490" s="307"/>
      <c r="AQ490" s="307"/>
      <c r="AR490" s="307"/>
      <c r="AU490" s="317"/>
      <c r="AW490" s="307"/>
      <c r="AX490" s="307"/>
      <c r="AY490" s="307"/>
      <c r="AZ490" s="307"/>
      <c r="BA490" s="307"/>
      <c r="BB490" s="307"/>
      <c r="BC490" s="307"/>
      <c r="BD490" s="307"/>
      <c r="BE490" s="307"/>
    </row>
    <row r="491" spans="3:57" s="306" customFormat="1" ht="11.75" customHeight="1" x14ac:dyDescent="0.15">
      <c r="G491" s="307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  <c r="R491" s="310"/>
      <c r="S491" s="310"/>
      <c r="T491" s="310"/>
      <c r="U491" s="310"/>
      <c r="V491" s="310"/>
      <c r="W491" s="310"/>
      <c r="X491" s="310"/>
      <c r="Y491" s="310"/>
      <c r="Z491" s="310"/>
      <c r="AA491" s="310"/>
      <c r="AB491" s="310"/>
      <c r="AC491" s="310"/>
      <c r="AD491" s="310"/>
      <c r="AE491" s="310"/>
      <c r="AJ491" s="307"/>
      <c r="AK491" s="307"/>
      <c r="AL491" s="307"/>
      <c r="AM491" s="307"/>
      <c r="AN491" s="307"/>
      <c r="AO491" s="307"/>
      <c r="AP491" s="307"/>
      <c r="AQ491" s="307"/>
      <c r="AR491" s="307"/>
      <c r="AW491" s="307"/>
      <c r="AX491" s="307"/>
      <c r="AY491" s="307"/>
      <c r="AZ491" s="307"/>
      <c r="BA491" s="307"/>
      <c r="BB491" s="307"/>
      <c r="BC491" s="307"/>
      <c r="BD491" s="307"/>
      <c r="BE491" s="307"/>
    </row>
    <row r="492" spans="3:57" s="306" customFormat="1" ht="11.75" customHeight="1" x14ac:dyDescent="0.15">
      <c r="C492" s="308"/>
      <c r="D492" s="308"/>
      <c r="E492" s="308"/>
      <c r="F492" s="308"/>
      <c r="G492" s="307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  <c r="R492" s="310"/>
      <c r="S492" s="310"/>
      <c r="T492" s="310"/>
      <c r="U492" s="310"/>
      <c r="V492" s="310"/>
      <c r="W492" s="310"/>
      <c r="X492" s="310"/>
      <c r="Y492" s="310"/>
      <c r="Z492" s="310"/>
      <c r="AA492" s="310"/>
      <c r="AB492" s="310"/>
      <c r="AC492" s="310"/>
      <c r="AD492" s="310"/>
      <c r="AE492" s="310"/>
      <c r="AJ492" s="307"/>
      <c r="AK492" s="307"/>
      <c r="AL492" s="307"/>
      <c r="AM492" s="307"/>
      <c r="AN492" s="307"/>
      <c r="AO492" s="307"/>
      <c r="AP492" s="307"/>
      <c r="AQ492" s="307"/>
      <c r="AR492" s="307"/>
      <c r="AW492" s="307"/>
      <c r="AX492" s="307"/>
      <c r="AY492" s="307"/>
      <c r="AZ492" s="307"/>
      <c r="BA492" s="307"/>
      <c r="BB492" s="307"/>
      <c r="BC492" s="307"/>
      <c r="BD492" s="307"/>
      <c r="BE492" s="307"/>
    </row>
    <row r="493" spans="3:57" s="306" customFormat="1" ht="11.75" customHeight="1" x14ac:dyDescent="0.15">
      <c r="G493" s="307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  <c r="R493" s="310"/>
      <c r="S493" s="310"/>
      <c r="T493" s="310"/>
      <c r="U493" s="310"/>
      <c r="V493" s="310"/>
      <c r="W493" s="310"/>
      <c r="X493" s="310"/>
      <c r="Y493" s="310"/>
      <c r="Z493" s="310"/>
      <c r="AA493" s="310"/>
      <c r="AB493" s="310"/>
      <c r="AC493" s="310"/>
      <c r="AD493" s="310"/>
      <c r="AE493" s="310"/>
      <c r="AJ493" s="307"/>
      <c r="AK493" s="307"/>
      <c r="AL493" s="307"/>
      <c r="AM493" s="307"/>
      <c r="AN493" s="307"/>
      <c r="AO493" s="307"/>
      <c r="AP493" s="307"/>
      <c r="AQ493" s="307"/>
      <c r="AR493" s="307"/>
      <c r="AW493" s="307"/>
      <c r="AX493" s="307"/>
      <c r="AY493" s="307"/>
      <c r="AZ493" s="307"/>
      <c r="BA493" s="307"/>
      <c r="BB493" s="307"/>
      <c r="BC493" s="307"/>
      <c r="BD493" s="307"/>
      <c r="BE493" s="307"/>
    </row>
    <row r="494" spans="3:57" s="306" customFormat="1" ht="11.75" customHeight="1" x14ac:dyDescent="0.15">
      <c r="G494" s="307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  <c r="R494" s="310"/>
      <c r="S494" s="310"/>
      <c r="T494" s="310"/>
      <c r="U494" s="310"/>
      <c r="V494" s="310"/>
      <c r="W494" s="310"/>
      <c r="X494" s="310"/>
      <c r="Y494" s="310"/>
      <c r="Z494" s="310"/>
      <c r="AA494" s="310"/>
      <c r="AB494" s="310"/>
      <c r="AC494" s="310"/>
      <c r="AD494" s="310"/>
      <c r="AE494" s="310"/>
      <c r="AJ494" s="307"/>
      <c r="AW494" s="307"/>
      <c r="AX494" s="307"/>
      <c r="AY494" s="307"/>
      <c r="AZ494" s="307"/>
      <c r="BA494" s="307"/>
      <c r="BB494" s="307"/>
      <c r="BC494" s="307"/>
      <c r="BD494" s="307"/>
      <c r="BE494" s="307"/>
    </row>
    <row r="495" spans="3:57" s="306" customFormat="1" ht="11.75" customHeight="1" x14ac:dyDescent="0.15">
      <c r="G495" s="307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  <c r="R495" s="310"/>
      <c r="S495" s="310"/>
      <c r="T495" s="310"/>
      <c r="U495" s="310"/>
      <c r="V495" s="310"/>
      <c r="W495" s="310"/>
      <c r="X495" s="310"/>
      <c r="Y495" s="310"/>
      <c r="Z495" s="310"/>
      <c r="AA495" s="310"/>
      <c r="AB495" s="310"/>
      <c r="AC495" s="310"/>
      <c r="AD495" s="310"/>
      <c r="AE495" s="310"/>
      <c r="AJ495" s="307"/>
      <c r="AW495" s="307"/>
      <c r="AX495" s="307"/>
      <c r="AY495" s="307"/>
      <c r="AZ495" s="307"/>
      <c r="BA495" s="307"/>
      <c r="BB495" s="307"/>
      <c r="BC495" s="307"/>
      <c r="BD495" s="307"/>
      <c r="BE495" s="307"/>
    </row>
    <row r="496" spans="3:57" s="306" customFormat="1" ht="11.75" customHeight="1" x14ac:dyDescent="0.15">
      <c r="G496" s="307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  <c r="R496" s="310"/>
      <c r="S496" s="310"/>
      <c r="T496" s="310"/>
      <c r="U496" s="310"/>
      <c r="V496" s="310"/>
      <c r="W496" s="310"/>
      <c r="X496" s="310"/>
      <c r="Y496" s="310"/>
      <c r="Z496" s="310"/>
      <c r="AA496" s="310"/>
      <c r="AB496" s="310"/>
      <c r="AC496" s="310"/>
      <c r="AD496" s="310"/>
      <c r="AE496" s="310"/>
      <c r="AJ496" s="307"/>
      <c r="AK496" s="307"/>
      <c r="AL496" s="307"/>
      <c r="AM496" s="307"/>
      <c r="AN496" s="307"/>
      <c r="AO496" s="307"/>
      <c r="AP496" s="307"/>
      <c r="AQ496" s="307"/>
      <c r="AR496" s="307"/>
      <c r="AU496" s="327"/>
      <c r="AW496" s="307"/>
      <c r="AX496" s="307"/>
      <c r="AY496" s="307"/>
      <c r="AZ496" s="307"/>
      <c r="BA496" s="307"/>
      <c r="BB496" s="307"/>
      <c r="BC496" s="307"/>
      <c r="BD496" s="307"/>
      <c r="BE496" s="307"/>
    </row>
    <row r="497" spans="3:57" s="306" customFormat="1" ht="11.75" customHeight="1" x14ac:dyDescent="0.15">
      <c r="G497" s="307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  <c r="R497" s="310"/>
      <c r="S497" s="310"/>
      <c r="T497" s="310"/>
      <c r="U497" s="310"/>
      <c r="V497" s="310"/>
      <c r="W497" s="310"/>
      <c r="X497" s="310"/>
      <c r="Y497" s="310"/>
      <c r="Z497" s="310"/>
      <c r="AA497" s="310"/>
      <c r="AB497" s="310"/>
      <c r="AC497" s="310"/>
      <c r="AD497" s="310"/>
      <c r="AE497" s="310"/>
      <c r="AH497" s="327"/>
      <c r="AJ497" s="307"/>
      <c r="AK497" s="307"/>
      <c r="AL497" s="307"/>
      <c r="AM497" s="307"/>
      <c r="AN497" s="307"/>
      <c r="AO497" s="307"/>
      <c r="AP497" s="307"/>
      <c r="AQ497" s="307"/>
      <c r="AR497" s="307"/>
      <c r="AW497" s="307"/>
      <c r="AX497" s="307"/>
      <c r="AY497" s="307"/>
      <c r="AZ497" s="307"/>
      <c r="BA497" s="307"/>
      <c r="BB497" s="307"/>
      <c r="BC497" s="307"/>
      <c r="BD497" s="307"/>
      <c r="BE497" s="307"/>
    </row>
    <row r="498" spans="3:57" s="306" customFormat="1" ht="11.75" customHeight="1" x14ac:dyDescent="0.15">
      <c r="G498" s="307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  <c r="R498" s="310"/>
      <c r="S498" s="310"/>
      <c r="T498" s="310"/>
      <c r="U498" s="310"/>
      <c r="V498" s="310"/>
      <c r="W498" s="310"/>
      <c r="X498" s="310"/>
      <c r="Y498" s="310"/>
      <c r="Z498" s="310"/>
      <c r="AA498" s="310"/>
      <c r="AB498" s="310"/>
      <c r="AC498" s="310"/>
      <c r="AD498" s="310"/>
      <c r="AE498" s="310"/>
      <c r="AJ498" s="307"/>
      <c r="AK498" s="307"/>
      <c r="AL498" s="307"/>
      <c r="AM498" s="307"/>
      <c r="AN498" s="307"/>
      <c r="AO498" s="307"/>
      <c r="AP498" s="307"/>
      <c r="AQ498" s="307"/>
      <c r="AR498" s="307"/>
      <c r="AW498" s="307"/>
      <c r="AX498" s="307"/>
      <c r="AY498" s="307"/>
      <c r="AZ498" s="307"/>
      <c r="BA498" s="307"/>
      <c r="BB498" s="307"/>
      <c r="BC498" s="307"/>
      <c r="BD498" s="307"/>
      <c r="BE498" s="307"/>
    </row>
    <row r="499" spans="3:57" s="306" customFormat="1" ht="11.75" customHeight="1" x14ac:dyDescent="0.15">
      <c r="G499" s="307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  <c r="R499" s="310"/>
      <c r="S499" s="310"/>
      <c r="T499" s="310"/>
      <c r="U499" s="310"/>
      <c r="V499" s="310"/>
      <c r="W499" s="310"/>
      <c r="X499" s="310"/>
      <c r="Y499" s="310"/>
      <c r="Z499" s="310"/>
      <c r="AA499" s="310"/>
      <c r="AB499" s="310"/>
      <c r="AC499" s="310"/>
      <c r="AD499" s="310"/>
      <c r="AE499" s="310"/>
      <c r="AJ499" s="307"/>
      <c r="AK499" s="307"/>
      <c r="AL499" s="307"/>
      <c r="AM499" s="307"/>
      <c r="AN499" s="307"/>
      <c r="AO499" s="307"/>
      <c r="AP499" s="307"/>
      <c r="AQ499" s="307"/>
      <c r="AR499" s="307"/>
      <c r="AW499" s="307"/>
      <c r="AX499" s="307"/>
      <c r="AY499" s="307"/>
      <c r="AZ499" s="307"/>
      <c r="BA499" s="307"/>
      <c r="BB499" s="307"/>
      <c r="BC499" s="307"/>
      <c r="BD499" s="307"/>
      <c r="BE499" s="307"/>
    </row>
    <row r="500" spans="3:57" s="306" customFormat="1" ht="11.75" customHeight="1" x14ac:dyDescent="0.15">
      <c r="G500" s="307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  <c r="R500" s="310"/>
      <c r="S500" s="310"/>
      <c r="T500" s="310"/>
      <c r="U500" s="310"/>
      <c r="V500" s="310"/>
      <c r="W500" s="310"/>
      <c r="X500" s="310"/>
      <c r="Y500" s="310"/>
      <c r="Z500" s="310"/>
      <c r="AA500" s="310"/>
      <c r="AB500" s="310"/>
      <c r="AC500" s="310"/>
      <c r="AD500" s="310"/>
      <c r="AE500" s="310"/>
      <c r="AJ500" s="307"/>
      <c r="AK500" s="307"/>
      <c r="AL500" s="307"/>
      <c r="AM500" s="307"/>
      <c r="AN500" s="307"/>
      <c r="AO500" s="307"/>
      <c r="AP500" s="307"/>
      <c r="AQ500" s="307"/>
      <c r="AR500" s="307"/>
      <c r="AW500" s="307"/>
      <c r="AX500" s="307"/>
      <c r="AY500" s="307"/>
      <c r="AZ500" s="307"/>
      <c r="BA500" s="307"/>
      <c r="BB500" s="307"/>
      <c r="BC500" s="307"/>
      <c r="BD500" s="307"/>
      <c r="BE500" s="307"/>
    </row>
    <row r="501" spans="3:57" s="306" customFormat="1" ht="11.75" customHeight="1" x14ac:dyDescent="0.15">
      <c r="G501" s="307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  <c r="R501" s="310"/>
      <c r="S501" s="310"/>
      <c r="T501" s="310"/>
      <c r="U501" s="310"/>
      <c r="V501" s="310"/>
      <c r="W501" s="310"/>
      <c r="X501" s="310"/>
      <c r="Y501" s="310"/>
      <c r="Z501" s="310"/>
      <c r="AA501" s="310"/>
      <c r="AB501" s="310"/>
      <c r="AC501" s="310"/>
      <c r="AD501" s="310"/>
      <c r="AE501" s="310"/>
      <c r="AJ501" s="307"/>
      <c r="AK501" s="307"/>
      <c r="AL501" s="307"/>
      <c r="AM501" s="307"/>
      <c r="AN501" s="307"/>
      <c r="AO501" s="307"/>
      <c r="AP501" s="307"/>
      <c r="AQ501" s="307"/>
      <c r="AR501" s="307"/>
      <c r="AW501" s="307"/>
      <c r="AX501" s="307"/>
      <c r="AY501" s="307"/>
      <c r="AZ501" s="307"/>
      <c r="BA501" s="307"/>
      <c r="BB501" s="307"/>
      <c r="BC501" s="307"/>
      <c r="BD501" s="307"/>
      <c r="BE501" s="307"/>
    </row>
    <row r="502" spans="3:57" s="306" customFormat="1" ht="11.75" customHeight="1" x14ac:dyDescent="0.15">
      <c r="G502" s="307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  <c r="R502" s="310"/>
      <c r="S502" s="310"/>
      <c r="T502" s="310"/>
      <c r="U502" s="310"/>
      <c r="V502" s="310"/>
      <c r="W502" s="310"/>
      <c r="X502" s="310"/>
      <c r="Y502" s="310"/>
      <c r="Z502" s="310"/>
      <c r="AA502" s="310"/>
      <c r="AB502" s="310"/>
      <c r="AC502" s="310"/>
      <c r="AD502" s="310"/>
      <c r="AE502" s="310"/>
      <c r="AJ502" s="307"/>
      <c r="AK502" s="307"/>
      <c r="AL502" s="307"/>
      <c r="AM502" s="307"/>
      <c r="AN502" s="307"/>
      <c r="AO502" s="307"/>
      <c r="AP502" s="307"/>
      <c r="AQ502" s="307"/>
      <c r="AR502" s="307"/>
      <c r="AU502" s="327"/>
      <c r="AW502" s="307"/>
      <c r="AX502" s="307"/>
      <c r="AY502" s="307"/>
      <c r="AZ502" s="307"/>
      <c r="BA502" s="307"/>
      <c r="BB502" s="307"/>
      <c r="BC502" s="307"/>
      <c r="BD502" s="307"/>
      <c r="BE502" s="307"/>
    </row>
    <row r="503" spans="3:57" s="306" customFormat="1" ht="11.75" customHeight="1" x14ac:dyDescent="0.15">
      <c r="C503" s="308"/>
      <c r="D503" s="308"/>
      <c r="E503" s="308"/>
      <c r="F503" s="308"/>
      <c r="G503" s="307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  <c r="R503" s="310"/>
      <c r="S503" s="310"/>
      <c r="T503" s="310"/>
      <c r="U503" s="310"/>
      <c r="V503" s="310"/>
      <c r="W503" s="310"/>
      <c r="X503" s="310"/>
      <c r="Y503" s="310"/>
      <c r="Z503" s="310"/>
      <c r="AA503" s="310"/>
      <c r="AB503" s="310"/>
      <c r="AC503" s="310"/>
      <c r="AD503" s="310"/>
      <c r="AE503" s="310"/>
      <c r="AH503" s="327"/>
      <c r="AJ503" s="307"/>
      <c r="AK503" s="307"/>
      <c r="AL503" s="307"/>
      <c r="AM503" s="307"/>
      <c r="AN503" s="307"/>
      <c r="AO503" s="307"/>
      <c r="AP503" s="307"/>
      <c r="AQ503" s="307"/>
      <c r="AR503" s="307"/>
      <c r="AW503" s="307"/>
      <c r="AX503" s="307"/>
      <c r="AY503" s="307"/>
      <c r="AZ503" s="307"/>
      <c r="BA503" s="307"/>
      <c r="BB503" s="307"/>
      <c r="BC503" s="307"/>
      <c r="BD503" s="307"/>
      <c r="BE503" s="307"/>
    </row>
    <row r="504" spans="3:57" s="306" customFormat="1" ht="11.75" customHeight="1" x14ac:dyDescent="0.15">
      <c r="G504" s="307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  <c r="Y504" s="328"/>
      <c r="Z504" s="328"/>
      <c r="AA504" s="328"/>
      <c r="AB504" s="328"/>
      <c r="AC504" s="328"/>
      <c r="AD504" s="328"/>
      <c r="AE504" s="328"/>
      <c r="AJ504" s="307"/>
      <c r="AK504" s="307"/>
      <c r="AL504" s="307"/>
      <c r="AM504" s="307"/>
      <c r="AN504" s="307"/>
      <c r="AO504" s="307"/>
      <c r="AP504" s="307"/>
      <c r="AQ504" s="307"/>
      <c r="AR504" s="307"/>
      <c r="AW504" s="307"/>
      <c r="AX504" s="307"/>
      <c r="AY504" s="307"/>
      <c r="AZ504" s="307"/>
      <c r="BA504" s="307"/>
      <c r="BB504" s="307"/>
      <c r="BC504" s="307"/>
      <c r="BD504" s="307"/>
      <c r="BE504" s="307"/>
    </row>
    <row r="505" spans="3:57" s="306" customFormat="1" ht="11.75" customHeight="1" x14ac:dyDescent="0.15">
      <c r="G505" s="307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  <c r="X505" s="328"/>
      <c r="Y505" s="328"/>
      <c r="Z505" s="328"/>
      <c r="AA505" s="328"/>
      <c r="AB505" s="328"/>
      <c r="AC505" s="328"/>
      <c r="AD505" s="328"/>
      <c r="AE505" s="328"/>
      <c r="AJ505" s="307"/>
      <c r="AK505" s="307"/>
      <c r="AL505" s="307"/>
      <c r="AM505" s="307"/>
      <c r="AN505" s="307"/>
      <c r="AO505" s="307"/>
      <c r="AP505" s="307"/>
      <c r="AQ505" s="307"/>
      <c r="AR505" s="307"/>
      <c r="AW505" s="307"/>
      <c r="AX505" s="307"/>
      <c r="AY505" s="307"/>
      <c r="AZ505" s="307"/>
      <c r="BA505" s="307"/>
      <c r="BB505" s="307"/>
      <c r="BC505" s="307"/>
      <c r="BD505" s="307"/>
      <c r="BE505" s="307"/>
    </row>
    <row r="506" spans="3:57" s="306" customFormat="1" ht="11.75" customHeight="1" x14ac:dyDescent="0.15">
      <c r="G506" s="307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  <c r="R506" s="310"/>
      <c r="S506" s="310"/>
      <c r="T506" s="310"/>
      <c r="U506" s="310"/>
      <c r="V506" s="310"/>
      <c r="W506" s="310"/>
      <c r="X506" s="310"/>
      <c r="Y506" s="310"/>
      <c r="Z506" s="310"/>
      <c r="AA506" s="310"/>
      <c r="AB506" s="310"/>
      <c r="AC506" s="310"/>
      <c r="AD506" s="310"/>
      <c r="AE506" s="310"/>
      <c r="AJ506" s="307"/>
      <c r="AK506" s="307"/>
      <c r="AL506" s="307"/>
      <c r="AM506" s="307"/>
      <c r="AN506" s="307"/>
      <c r="AO506" s="307"/>
      <c r="AP506" s="307"/>
      <c r="AQ506" s="307"/>
      <c r="AR506" s="307"/>
      <c r="AW506" s="307"/>
      <c r="AX506" s="307"/>
      <c r="AY506" s="307"/>
      <c r="AZ506" s="307"/>
      <c r="BA506" s="307"/>
      <c r="BB506" s="307"/>
      <c r="BC506" s="307"/>
      <c r="BD506" s="307"/>
      <c r="BE506" s="307"/>
    </row>
    <row r="507" spans="3:57" s="306" customFormat="1" ht="11.75" customHeight="1" x14ac:dyDescent="0.15">
      <c r="G507" s="307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  <c r="R507" s="310"/>
      <c r="S507" s="310"/>
      <c r="T507" s="310"/>
      <c r="U507" s="310"/>
      <c r="V507" s="310"/>
      <c r="W507" s="310"/>
      <c r="X507" s="310"/>
      <c r="Y507" s="310"/>
      <c r="Z507" s="310"/>
      <c r="AA507" s="310"/>
      <c r="AB507" s="310"/>
      <c r="AC507" s="310"/>
      <c r="AD507" s="310"/>
      <c r="AE507" s="310"/>
      <c r="AJ507" s="307"/>
      <c r="AK507" s="307"/>
      <c r="AL507" s="307"/>
      <c r="AM507" s="307"/>
      <c r="AN507" s="307"/>
      <c r="AO507" s="307"/>
      <c r="AP507" s="307"/>
      <c r="AQ507" s="307"/>
      <c r="AR507" s="307"/>
      <c r="AW507" s="307"/>
      <c r="AX507" s="307"/>
      <c r="AY507" s="307"/>
      <c r="AZ507" s="307"/>
      <c r="BA507" s="307"/>
      <c r="BB507" s="307"/>
      <c r="BC507" s="307"/>
      <c r="BD507" s="307"/>
      <c r="BE507" s="307"/>
    </row>
    <row r="508" spans="3:57" s="306" customFormat="1" ht="11.75" customHeight="1" x14ac:dyDescent="0.15">
      <c r="G508" s="307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  <c r="W508" s="329"/>
      <c r="X508" s="329"/>
      <c r="Y508" s="329"/>
      <c r="Z508" s="329"/>
      <c r="AA508" s="329"/>
      <c r="AB508" s="329"/>
      <c r="AC508" s="329"/>
      <c r="AD508" s="329"/>
      <c r="AE508" s="329"/>
      <c r="AJ508" s="307"/>
      <c r="AK508" s="307"/>
      <c r="AL508" s="307"/>
      <c r="AM508" s="307"/>
      <c r="AN508" s="307"/>
      <c r="AO508" s="307"/>
      <c r="AP508" s="307"/>
      <c r="AQ508" s="307"/>
      <c r="AR508" s="307"/>
      <c r="AU508" s="327"/>
      <c r="AW508" s="307"/>
      <c r="AX508" s="307"/>
      <c r="AY508" s="307"/>
      <c r="AZ508" s="307"/>
      <c r="BA508" s="307"/>
      <c r="BB508" s="307"/>
      <c r="BC508" s="307"/>
      <c r="BD508" s="307"/>
      <c r="BE508" s="307"/>
    </row>
    <row r="509" spans="3:57" s="306" customFormat="1" ht="11.75" customHeight="1" x14ac:dyDescent="0.15">
      <c r="C509" s="308"/>
      <c r="D509" s="308"/>
      <c r="E509" s="308"/>
      <c r="F509" s="308"/>
      <c r="G509" s="307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  <c r="R509" s="310"/>
      <c r="S509" s="310"/>
      <c r="T509" s="310"/>
      <c r="U509" s="310"/>
      <c r="V509" s="310"/>
      <c r="W509" s="310"/>
      <c r="X509" s="310"/>
      <c r="Y509" s="310"/>
      <c r="Z509" s="310"/>
      <c r="AA509" s="310"/>
      <c r="AB509" s="310"/>
      <c r="AC509" s="310"/>
      <c r="AD509" s="310"/>
      <c r="AE509" s="310"/>
      <c r="AH509" s="327"/>
      <c r="AJ509" s="307"/>
      <c r="AK509" s="307"/>
      <c r="AL509" s="307"/>
      <c r="AM509" s="307"/>
      <c r="AN509" s="307"/>
      <c r="AO509" s="307"/>
      <c r="AP509" s="307"/>
      <c r="AQ509" s="307"/>
      <c r="AR509" s="307"/>
      <c r="AW509" s="307"/>
      <c r="AX509" s="307"/>
      <c r="AY509" s="307"/>
      <c r="AZ509" s="307"/>
      <c r="BA509" s="307"/>
      <c r="BB509" s="307"/>
      <c r="BC509" s="307"/>
      <c r="BD509" s="307"/>
      <c r="BE509" s="307"/>
    </row>
    <row r="510" spans="3:57" s="306" customFormat="1" ht="11.75" customHeight="1" x14ac:dyDescent="0.15">
      <c r="G510" s="307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  <c r="R510" s="310"/>
      <c r="S510" s="310"/>
      <c r="T510" s="310"/>
      <c r="U510" s="310"/>
      <c r="V510" s="310"/>
      <c r="W510" s="310"/>
      <c r="X510" s="310"/>
      <c r="Y510" s="310"/>
      <c r="Z510" s="310"/>
      <c r="AA510" s="310"/>
      <c r="AB510" s="310"/>
      <c r="AC510" s="310"/>
      <c r="AD510" s="310"/>
      <c r="AE510" s="310"/>
      <c r="AJ510" s="307"/>
      <c r="AK510" s="307"/>
      <c r="AL510" s="307"/>
      <c r="AM510" s="307"/>
      <c r="AN510" s="307"/>
      <c r="AO510" s="307"/>
      <c r="AP510" s="307"/>
      <c r="AQ510" s="307"/>
      <c r="AR510" s="307"/>
      <c r="AW510" s="307"/>
      <c r="AX510" s="307"/>
      <c r="AY510" s="307"/>
      <c r="AZ510" s="307"/>
      <c r="BA510" s="307"/>
      <c r="BB510" s="307"/>
      <c r="BC510" s="307"/>
      <c r="BD510" s="307"/>
      <c r="BE510" s="307"/>
    </row>
    <row r="511" spans="3:57" s="306" customFormat="1" ht="11.75" customHeight="1" x14ac:dyDescent="0.15">
      <c r="G511" s="307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  <c r="R511" s="310"/>
      <c r="S511" s="310"/>
      <c r="T511" s="310"/>
      <c r="U511" s="310"/>
      <c r="V511" s="310"/>
      <c r="W511" s="310"/>
      <c r="X511" s="310"/>
      <c r="Y511" s="310"/>
      <c r="Z511" s="310"/>
      <c r="AA511" s="310"/>
      <c r="AB511" s="310"/>
      <c r="AC511" s="310"/>
      <c r="AD511" s="310"/>
      <c r="AE511" s="310"/>
      <c r="AJ511" s="307"/>
      <c r="AK511" s="307"/>
      <c r="AL511" s="307"/>
      <c r="AM511" s="307"/>
      <c r="AN511" s="307"/>
      <c r="AO511" s="307"/>
      <c r="AP511" s="307"/>
      <c r="AQ511" s="307"/>
      <c r="AR511" s="307"/>
      <c r="AW511" s="307"/>
      <c r="AX511" s="307"/>
      <c r="AY511" s="307"/>
      <c r="AZ511" s="307"/>
      <c r="BA511" s="307"/>
      <c r="BB511" s="307"/>
      <c r="BC511" s="307"/>
      <c r="BD511" s="307"/>
      <c r="BE511" s="307"/>
    </row>
    <row r="512" spans="3:57" s="306" customFormat="1" ht="11.75" customHeight="1" x14ac:dyDescent="0.15">
      <c r="G512" s="307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  <c r="R512" s="310"/>
      <c r="S512" s="310"/>
      <c r="T512" s="310"/>
      <c r="U512" s="310"/>
      <c r="V512" s="310"/>
      <c r="W512" s="310"/>
      <c r="X512" s="310"/>
      <c r="Y512" s="310"/>
      <c r="Z512" s="310"/>
      <c r="AA512" s="310"/>
      <c r="AB512" s="310"/>
      <c r="AC512" s="310"/>
      <c r="AD512" s="310"/>
      <c r="AE512" s="310"/>
      <c r="AJ512" s="307"/>
      <c r="AK512" s="307"/>
      <c r="AL512" s="307"/>
      <c r="AM512" s="307"/>
      <c r="AN512" s="307"/>
      <c r="AO512" s="307"/>
      <c r="AP512" s="307"/>
      <c r="AQ512" s="307"/>
      <c r="AR512" s="307"/>
      <c r="AW512" s="307"/>
      <c r="AX512" s="307"/>
      <c r="AY512" s="307"/>
      <c r="AZ512" s="307"/>
      <c r="BA512" s="307"/>
      <c r="BB512" s="307"/>
      <c r="BC512" s="307"/>
      <c r="BD512" s="307"/>
      <c r="BE512" s="307"/>
    </row>
    <row r="513" spans="3:59" s="306" customFormat="1" ht="11.75" customHeight="1" x14ac:dyDescent="0.15">
      <c r="G513" s="307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  <c r="R513" s="310"/>
      <c r="S513" s="310"/>
      <c r="T513" s="310"/>
      <c r="U513" s="310"/>
      <c r="V513" s="310"/>
      <c r="W513" s="310"/>
      <c r="X513" s="310"/>
      <c r="Y513" s="310"/>
      <c r="Z513" s="310"/>
      <c r="AA513" s="310"/>
      <c r="AB513" s="310"/>
      <c r="AC513" s="310"/>
      <c r="AD513" s="310"/>
      <c r="AE513" s="310"/>
      <c r="AJ513" s="307"/>
      <c r="AK513" s="307"/>
      <c r="AL513" s="307"/>
      <c r="AM513" s="307"/>
      <c r="AN513" s="307"/>
      <c r="AO513" s="307"/>
      <c r="AP513" s="307"/>
      <c r="AQ513" s="307"/>
      <c r="AR513" s="307"/>
      <c r="AW513" s="307"/>
      <c r="AX513" s="307"/>
      <c r="AY513" s="307"/>
      <c r="AZ513" s="307"/>
      <c r="BA513" s="307"/>
      <c r="BB513" s="307"/>
      <c r="BC513" s="307"/>
      <c r="BD513" s="307"/>
      <c r="BE513" s="307"/>
    </row>
    <row r="514" spans="3:59" s="306" customFormat="1" ht="11.75" customHeight="1" x14ac:dyDescent="0.15">
      <c r="G514" s="307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  <c r="R514" s="310"/>
      <c r="S514" s="310"/>
      <c r="T514" s="310"/>
      <c r="U514" s="310"/>
      <c r="V514" s="310"/>
      <c r="W514" s="310"/>
      <c r="X514" s="310"/>
      <c r="Y514" s="310"/>
      <c r="Z514" s="310"/>
      <c r="AA514" s="310"/>
      <c r="AB514" s="310"/>
      <c r="AC514" s="310"/>
      <c r="AD514" s="310"/>
      <c r="AE514" s="310"/>
      <c r="AJ514" s="307"/>
      <c r="AK514" s="307"/>
      <c r="AL514" s="307"/>
      <c r="AM514" s="307"/>
      <c r="AN514" s="307"/>
      <c r="AO514" s="307"/>
      <c r="AP514" s="307"/>
      <c r="AQ514" s="307"/>
      <c r="AR514" s="307"/>
      <c r="AU514" s="327"/>
      <c r="AW514" s="307"/>
      <c r="AX514" s="307"/>
      <c r="AY514" s="307"/>
      <c r="AZ514" s="307"/>
      <c r="BA514" s="307"/>
      <c r="BB514" s="307"/>
      <c r="BC514" s="307"/>
      <c r="BD514" s="307"/>
      <c r="BE514" s="307"/>
    </row>
    <row r="515" spans="3:59" s="306" customFormat="1" ht="11.75" customHeight="1" x14ac:dyDescent="0.15">
      <c r="G515" s="307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  <c r="R515" s="310"/>
      <c r="S515" s="310"/>
      <c r="T515" s="310"/>
      <c r="U515" s="310"/>
      <c r="V515" s="310"/>
      <c r="W515" s="310"/>
      <c r="X515" s="310"/>
      <c r="Y515" s="310"/>
      <c r="Z515" s="310"/>
      <c r="AA515" s="310"/>
      <c r="AB515" s="310"/>
      <c r="AC515" s="310"/>
      <c r="AD515" s="310"/>
      <c r="AE515" s="310"/>
      <c r="AH515" s="327"/>
      <c r="AJ515" s="307"/>
      <c r="AK515" s="307"/>
      <c r="AL515" s="307"/>
      <c r="AM515" s="307"/>
      <c r="AN515" s="307"/>
      <c r="AO515" s="307"/>
      <c r="AP515" s="307"/>
      <c r="AQ515" s="307"/>
      <c r="AR515" s="307"/>
      <c r="AW515" s="307"/>
      <c r="AX515" s="307"/>
      <c r="AY515" s="307"/>
      <c r="AZ515" s="307"/>
      <c r="BA515" s="307"/>
      <c r="BB515" s="307"/>
      <c r="BC515" s="307"/>
      <c r="BD515" s="307"/>
      <c r="BE515" s="307"/>
    </row>
    <row r="516" spans="3:59" s="306" customFormat="1" ht="11.75" customHeight="1" x14ac:dyDescent="0.15">
      <c r="G516" s="307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  <c r="R516" s="310"/>
      <c r="S516" s="310"/>
      <c r="T516" s="310"/>
      <c r="U516" s="310"/>
      <c r="V516" s="310"/>
      <c r="W516" s="310"/>
      <c r="X516" s="310"/>
      <c r="Y516" s="310"/>
      <c r="Z516" s="310"/>
      <c r="AA516" s="310"/>
      <c r="AB516" s="310"/>
      <c r="AC516" s="310"/>
      <c r="AD516" s="310"/>
      <c r="AE516" s="310"/>
      <c r="AJ516" s="307"/>
      <c r="AK516" s="307"/>
      <c r="AL516" s="307"/>
      <c r="AM516" s="307"/>
      <c r="AN516" s="307"/>
      <c r="AO516" s="307"/>
      <c r="AP516" s="307"/>
      <c r="AQ516" s="307"/>
      <c r="AR516" s="307"/>
      <c r="AW516" s="307"/>
      <c r="AX516" s="307"/>
      <c r="AY516" s="307"/>
      <c r="AZ516" s="307"/>
      <c r="BA516" s="307"/>
      <c r="BB516" s="307"/>
      <c r="BC516" s="307"/>
      <c r="BD516" s="307"/>
      <c r="BE516" s="307"/>
    </row>
    <row r="517" spans="3:59" s="306" customFormat="1" ht="11.75" customHeight="1" x14ac:dyDescent="0.15">
      <c r="C517" s="308"/>
      <c r="D517" s="308"/>
      <c r="E517" s="308"/>
      <c r="F517" s="308"/>
      <c r="G517" s="307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  <c r="R517" s="310"/>
      <c r="S517" s="310"/>
      <c r="T517" s="310"/>
      <c r="U517" s="310"/>
      <c r="V517" s="310"/>
      <c r="W517" s="310"/>
      <c r="X517" s="310"/>
      <c r="Y517" s="310"/>
      <c r="Z517" s="310"/>
      <c r="AA517" s="310"/>
      <c r="AB517" s="310"/>
      <c r="AC517" s="310"/>
      <c r="AD517" s="310"/>
      <c r="AE517" s="310"/>
      <c r="AJ517" s="307"/>
      <c r="AK517" s="307"/>
      <c r="AL517" s="307"/>
      <c r="AM517" s="307"/>
      <c r="AN517" s="307"/>
      <c r="AO517" s="307"/>
      <c r="AP517" s="307"/>
      <c r="AQ517" s="307"/>
      <c r="AR517" s="307"/>
      <c r="AW517" s="307"/>
      <c r="AX517" s="307"/>
      <c r="AY517" s="307"/>
      <c r="AZ517" s="307"/>
      <c r="BA517" s="307"/>
      <c r="BB517" s="307"/>
      <c r="BC517" s="307"/>
      <c r="BD517" s="307"/>
      <c r="BE517" s="307"/>
    </row>
    <row r="518" spans="3:59" s="306" customFormat="1" ht="11.75" customHeight="1" x14ac:dyDescent="0.15">
      <c r="G518" s="307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  <c r="R518" s="310"/>
      <c r="S518" s="310"/>
      <c r="T518" s="310"/>
      <c r="U518" s="310"/>
      <c r="V518" s="310"/>
      <c r="W518" s="310"/>
      <c r="X518" s="310"/>
      <c r="Y518" s="310"/>
      <c r="Z518" s="310"/>
      <c r="AA518" s="310"/>
      <c r="AB518" s="310"/>
      <c r="AC518" s="310"/>
      <c r="AD518" s="310"/>
      <c r="AE518" s="310"/>
      <c r="AJ518" s="307"/>
      <c r="AK518" s="307"/>
      <c r="AL518" s="307"/>
      <c r="AM518" s="307"/>
      <c r="AN518" s="307"/>
      <c r="AO518" s="307"/>
      <c r="AP518" s="307"/>
      <c r="AQ518" s="307"/>
      <c r="AR518" s="307"/>
      <c r="AW518" s="307"/>
      <c r="AX518" s="307"/>
      <c r="AY518" s="307"/>
      <c r="AZ518" s="307"/>
      <c r="BA518" s="307"/>
      <c r="BB518" s="307"/>
      <c r="BC518" s="307"/>
      <c r="BD518" s="307"/>
      <c r="BE518" s="307"/>
    </row>
    <row r="519" spans="3:59" s="306" customFormat="1" ht="11.75" customHeight="1" x14ac:dyDescent="0.15">
      <c r="G519" s="307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  <c r="R519" s="310"/>
      <c r="S519" s="310"/>
      <c r="T519" s="310"/>
      <c r="U519" s="310"/>
      <c r="V519" s="310"/>
      <c r="W519" s="310"/>
      <c r="X519" s="310"/>
      <c r="Y519" s="310"/>
      <c r="Z519" s="310"/>
      <c r="AA519" s="310"/>
      <c r="AB519" s="310"/>
      <c r="AC519" s="310"/>
      <c r="AD519" s="310"/>
      <c r="AE519" s="310"/>
      <c r="AJ519" s="307"/>
      <c r="AK519" s="307"/>
      <c r="AL519" s="307"/>
      <c r="AM519" s="307"/>
      <c r="AN519" s="307"/>
      <c r="AO519" s="307"/>
      <c r="AP519" s="307"/>
      <c r="AQ519" s="307"/>
      <c r="AR519" s="307"/>
      <c r="AW519" s="307"/>
      <c r="AX519" s="307"/>
      <c r="AY519" s="307"/>
      <c r="AZ519" s="307"/>
      <c r="BA519" s="307"/>
      <c r="BB519" s="307"/>
      <c r="BC519" s="307"/>
      <c r="BD519" s="307"/>
      <c r="BE519" s="307"/>
    </row>
    <row r="520" spans="3:59" s="306" customFormat="1" ht="11.75" customHeight="1" x14ac:dyDescent="0.15">
      <c r="G520" s="307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  <c r="R520" s="310"/>
      <c r="S520" s="310"/>
      <c r="T520" s="310"/>
      <c r="U520" s="310"/>
      <c r="V520" s="310"/>
      <c r="W520" s="310"/>
      <c r="X520" s="310"/>
      <c r="Y520" s="310"/>
      <c r="Z520" s="310"/>
      <c r="AA520" s="310"/>
      <c r="AB520" s="310"/>
      <c r="AC520" s="310"/>
      <c r="AD520" s="310"/>
      <c r="AE520" s="310"/>
      <c r="AJ520" s="307"/>
      <c r="AK520" s="307"/>
      <c r="AL520" s="307"/>
      <c r="AM520" s="307"/>
      <c r="AN520" s="307"/>
      <c r="AO520" s="307"/>
      <c r="AP520" s="307"/>
      <c r="AQ520" s="307"/>
      <c r="AR520" s="307"/>
      <c r="AU520" s="327"/>
      <c r="AW520" s="307"/>
      <c r="AX520" s="307"/>
      <c r="AY520" s="307"/>
      <c r="AZ520" s="307"/>
      <c r="BA520" s="307"/>
      <c r="BB520" s="307"/>
      <c r="BC520" s="307"/>
      <c r="BD520" s="307"/>
      <c r="BE520" s="307"/>
    </row>
    <row r="521" spans="3:59" s="306" customFormat="1" ht="11.75" customHeight="1" x14ac:dyDescent="0.15">
      <c r="G521" s="307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  <c r="R521" s="310"/>
      <c r="S521" s="310"/>
      <c r="T521" s="310"/>
      <c r="U521" s="310"/>
      <c r="V521" s="310"/>
      <c r="W521" s="310"/>
      <c r="X521" s="310"/>
      <c r="Y521" s="310"/>
      <c r="Z521" s="310"/>
      <c r="AA521" s="310"/>
      <c r="AB521" s="310"/>
      <c r="AC521" s="310"/>
      <c r="AD521" s="310"/>
      <c r="AE521" s="310"/>
      <c r="AH521" s="327"/>
      <c r="AJ521" s="307"/>
      <c r="AK521" s="307"/>
      <c r="AL521" s="307"/>
      <c r="AM521" s="307"/>
      <c r="AN521" s="307"/>
      <c r="AO521" s="307"/>
      <c r="AP521" s="307"/>
      <c r="AQ521" s="307"/>
      <c r="AR521" s="307"/>
      <c r="AW521" s="307"/>
      <c r="AX521" s="307"/>
      <c r="AY521" s="307"/>
      <c r="AZ521" s="307"/>
      <c r="BA521" s="307"/>
      <c r="BB521" s="307"/>
      <c r="BC521" s="307"/>
      <c r="BD521" s="307"/>
      <c r="BE521" s="307"/>
    </row>
    <row r="522" spans="3:59" s="306" customFormat="1" ht="11.75" customHeight="1" x14ac:dyDescent="0.15">
      <c r="G522" s="307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  <c r="R522" s="310"/>
      <c r="S522" s="310"/>
      <c r="T522" s="310"/>
      <c r="U522" s="310"/>
      <c r="V522" s="310"/>
      <c r="W522" s="310"/>
      <c r="X522" s="310"/>
      <c r="Y522" s="310"/>
      <c r="Z522" s="310"/>
      <c r="AA522" s="310"/>
      <c r="AB522" s="310"/>
      <c r="AC522" s="310"/>
      <c r="AD522" s="310"/>
      <c r="AE522" s="310"/>
      <c r="AJ522" s="307"/>
      <c r="AK522" s="307"/>
      <c r="AL522" s="307"/>
      <c r="AM522" s="307"/>
      <c r="AN522" s="307"/>
      <c r="AO522" s="307"/>
      <c r="AP522" s="307"/>
      <c r="AQ522" s="307"/>
      <c r="AR522" s="307"/>
      <c r="AW522" s="307"/>
      <c r="AX522" s="307"/>
      <c r="AY522" s="307"/>
      <c r="AZ522" s="307"/>
      <c r="BA522" s="307"/>
      <c r="BB522" s="307"/>
      <c r="BC522" s="307"/>
      <c r="BD522" s="307"/>
      <c r="BE522" s="307"/>
    </row>
    <row r="523" spans="3:59" s="306" customFormat="1" ht="11.75" customHeight="1" x14ac:dyDescent="0.15">
      <c r="G523" s="307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  <c r="R523" s="310"/>
      <c r="S523" s="310"/>
      <c r="T523" s="310"/>
      <c r="U523" s="310"/>
      <c r="V523" s="310"/>
      <c r="W523" s="310"/>
      <c r="X523" s="310"/>
      <c r="Y523" s="310"/>
      <c r="Z523" s="310"/>
      <c r="AA523" s="310"/>
      <c r="AB523" s="310"/>
      <c r="AC523" s="310"/>
      <c r="AD523" s="310"/>
      <c r="AE523" s="310"/>
      <c r="AJ523" s="307"/>
      <c r="AK523" s="307"/>
      <c r="AL523" s="307"/>
      <c r="AM523" s="307"/>
      <c r="AN523" s="307"/>
      <c r="AO523" s="307"/>
      <c r="AP523" s="307"/>
      <c r="AQ523" s="307"/>
      <c r="AR523" s="307"/>
      <c r="AW523" s="307"/>
      <c r="AX523" s="307"/>
      <c r="AY523" s="307"/>
      <c r="AZ523" s="307"/>
      <c r="BA523" s="307"/>
      <c r="BB523" s="307"/>
      <c r="BC523" s="307"/>
      <c r="BD523" s="307"/>
      <c r="BE523" s="307"/>
    </row>
    <row r="524" spans="3:59" s="306" customFormat="1" ht="11.75" customHeight="1" x14ac:dyDescent="0.15">
      <c r="G524" s="307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  <c r="R524" s="310"/>
      <c r="S524" s="310"/>
      <c r="T524" s="310"/>
      <c r="U524" s="310"/>
      <c r="V524" s="310"/>
      <c r="W524" s="310"/>
      <c r="X524" s="310"/>
      <c r="Y524" s="310"/>
      <c r="Z524" s="310"/>
      <c r="AA524" s="310"/>
      <c r="AB524" s="310"/>
      <c r="AC524" s="310"/>
      <c r="AD524" s="310"/>
      <c r="AE524" s="310"/>
      <c r="AJ524" s="307"/>
      <c r="AK524" s="307"/>
      <c r="AL524" s="307"/>
      <c r="AM524" s="307"/>
      <c r="AN524" s="307"/>
      <c r="AO524" s="307"/>
      <c r="AP524" s="307"/>
      <c r="AQ524" s="307"/>
      <c r="AR524" s="307"/>
      <c r="AW524" s="307"/>
      <c r="AX524" s="307"/>
      <c r="AY524" s="307"/>
      <c r="AZ524" s="307"/>
      <c r="BA524" s="307"/>
      <c r="BB524" s="307"/>
      <c r="BC524" s="307"/>
      <c r="BD524" s="307"/>
      <c r="BE524" s="307"/>
    </row>
    <row r="525" spans="3:59" s="306" customFormat="1" ht="11.75" customHeight="1" x14ac:dyDescent="0.15">
      <c r="G525" s="307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  <c r="R525" s="310"/>
      <c r="S525" s="310"/>
      <c r="T525" s="310"/>
      <c r="U525" s="310"/>
      <c r="V525" s="310"/>
      <c r="W525" s="310"/>
      <c r="X525" s="310"/>
      <c r="Y525" s="310"/>
      <c r="Z525" s="310"/>
      <c r="AA525" s="310"/>
      <c r="AB525" s="310"/>
      <c r="AC525" s="310"/>
      <c r="AD525" s="310"/>
      <c r="AE525" s="310"/>
      <c r="AJ525" s="307"/>
      <c r="AK525" s="307"/>
      <c r="AL525" s="307"/>
      <c r="AM525" s="307"/>
      <c r="AN525" s="307"/>
      <c r="AO525" s="307"/>
      <c r="AP525" s="307"/>
      <c r="AQ525" s="307"/>
      <c r="AR525" s="307"/>
      <c r="AW525" s="307"/>
      <c r="AX525" s="307"/>
      <c r="AY525" s="307"/>
      <c r="AZ525" s="307"/>
      <c r="BA525" s="307"/>
      <c r="BB525" s="307"/>
      <c r="BC525" s="307"/>
      <c r="BD525" s="307"/>
      <c r="BE525" s="307"/>
    </row>
    <row r="526" spans="3:59" s="306" customFormat="1" ht="11.75" customHeight="1" x14ac:dyDescent="0.15">
      <c r="G526" s="307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  <c r="R526" s="310"/>
      <c r="S526" s="310"/>
      <c r="T526" s="310"/>
      <c r="U526" s="310"/>
      <c r="V526" s="310"/>
      <c r="W526" s="310"/>
      <c r="X526" s="310"/>
      <c r="Y526" s="310"/>
      <c r="Z526" s="310"/>
      <c r="AA526" s="310"/>
      <c r="AB526" s="310"/>
      <c r="AC526" s="310"/>
      <c r="AD526" s="310"/>
      <c r="AE526" s="310"/>
      <c r="AJ526" s="307"/>
      <c r="AK526" s="307"/>
      <c r="AL526" s="307"/>
      <c r="AM526" s="307"/>
      <c r="AN526" s="307"/>
      <c r="AO526" s="307"/>
      <c r="AP526" s="307"/>
      <c r="AQ526" s="307"/>
      <c r="AR526" s="307"/>
      <c r="AW526" s="307"/>
      <c r="AX526" s="307"/>
      <c r="AY526" s="307"/>
      <c r="AZ526" s="307"/>
      <c r="BA526" s="307"/>
      <c r="BB526" s="307"/>
      <c r="BC526" s="307"/>
      <c r="BD526" s="307"/>
      <c r="BE526" s="307"/>
    </row>
    <row r="527" spans="3:59" s="306" customFormat="1" ht="11.75" customHeight="1" x14ac:dyDescent="0.15">
      <c r="G527" s="307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  <c r="R527" s="310"/>
      <c r="S527" s="310"/>
      <c r="T527" s="310"/>
      <c r="U527" s="310"/>
      <c r="V527" s="310"/>
      <c r="W527" s="310"/>
      <c r="X527" s="310"/>
      <c r="Y527" s="310"/>
      <c r="Z527" s="310"/>
      <c r="AA527" s="310"/>
      <c r="AB527" s="310"/>
      <c r="AC527" s="310"/>
      <c r="AD527" s="310"/>
      <c r="AE527" s="310"/>
      <c r="AH527" s="327"/>
      <c r="AJ527" s="307"/>
      <c r="AK527" s="307"/>
      <c r="AL527" s="307"/>
      <c r="AM527" s="307"/>
      <c r="AN527" s="307"/>
      <c r="AO527" s="307"/>
      <c r="AP527" s="307"/>
      <c r="AQ527" s="307"/>
      <c r="AR527" s="307"/>
      <c r="AX527" s="307"/>
      <c r="AY527" s="307"/>
      <c r="AZ527" s="307"/>
      <c r="BA527" s="307"/>
      <c r="BB527" s="307"/>
      <c r="BC527" s="307"/>
      <c r="BD527" s="307"/>
      <c r="BE527" s="307"/>
    </row>
    <row r="528" spans="3:59" s="306" customFormat="1" ht="11.75" customHeight="1" x14ac:dyDescent="0.15">
      <c r="G528" s="307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  <c r="R528" s="310"/>
      <c r="S528" s="310"/>
      <c r="T528" s="310"/>
      <c r="U528" s="310"/>
      <c r="V528" s="310"/>
      <c r="W528" s="310"/>
      <c r="X528" s="310"/>
      <c r="Y528" s="310"/>
      <c r="Z528" s="310"/>
      <c r="AA528" s="310"/>
      <c r="AB528" s="310"/>
      <c r="AC528" s="310"/>
      <c r="AD528" s="310"/>
      <c r="AE528" s="310"/>
      <c r="AJ528" s="307"/>
      <c r="AK528" s="307"/>
      <c r="AL528" s="307"/>
      <c r="AM528" s="307"/>
      <c r="AN528" s="307"/>
      <c r="AO528" s="307"/>
      <c r="AP528" s="307"/>
      <c r="AQ528" s="307"/>
      <c r="AR528" s="307"/>
      <c r="AU528" s="317"/>
      <c r="AX528" s="307"/>
      <c r="AY528" s="307"/>
      <c r="AZ528" s="307"/>
      <c r="BA528" s="307"/>
      <c r="BB528" s="307"/>
      <c r="BC528" s="307"/>
      <c r="BD528" s="307"/>
      <c r="BE528" s="307"/>
      <c r="BG528" s="317"/>
    </row>
    <row r="529" spans="3:69" s="306" customFormat="1" ht="11.75" customHeight="1" x14ac:dyDescent="0.15">
      <c r="G529" s="307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  <c r="R529" s="310"/>
      <c r="S529" s="310"/>
      <c r="T529" s="310"/>
      <c r="U529" s="310"/>
      <c r="V529" s="310"/>
      <c r="W529" s="310"/>
      <c r="X529" s="310"/>
      <c r="Y529" s="310"/>
      <c r="Z529" s="310"/>
      <c r="AA529" s="310"/>
      <c r="AB529" s="310"/>
      <c r="AC529" s="310"/>
      <c r="AD529" s="310"/>
      <c r="AE529" s="310"/>
      <c r="AJ529" s="307"/>
      <c r="AK529" s="307"/>
      <c r="AL529" s="307"/>
      <c r="AM529" s="307"/>
      <c r="AN529" s="307"/>
      <c r="AO529" s="307"/>
      <c r="AP529" s="307"/>
      <c r="AQ529" s="307"/>
      <c r="AR529" s="307"/>
      <c r="AX529" s="307"/>
      <c r="AY529" s="307"/>
      <c r="AZ529" s="307"/>
      <c r="BA529" s="307"/>
      <c r="BB529" s="307"/>
      <c r="BC529" s="307"/>
      <c r="BD529" s="307"/>
      <c r="BE529" s="307"/>
    </row>
    <row r="530" spans="3:69" s="306" customFormat="1" ht="11.75" customHeight="1" x14ac:dyDescent="0.15">
      <c r="G530" s="307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  <c r="R530" s="310"/>
      <c r="S530" s="310"/>
      <c r="T530" s="310"/>
      <c r="U530" s="310"/>
      <c r="V530" s="310"/>
      <c r="W530" s="310"/>
      <c r="X530" s="310"/>
      <c r="Y530" s="310"/>
      <c r="Z530" s="310"/>
      <c r="AA530" s="310"/>
      <c r="AB530" s="310"/>
      <c r="AC530" s="310"/>
      <c r="AD530" s="310"/>
      <c r="AE530" s="310"/>
      <c r="AJ530" s="307"/>
      <c r="AK530" s="330"/>
      <c r="AL530" s="330"/>
      <c r="AM530" s="330"/>
      <c r="AN530" s="330"/>
      <c r="AO530" s="330"/>
      <c r="AP530" s="330"/>
      <c r="AQ530" s="330"/>
      <c r="AR530" s="330"/>
      <c r="AX530" s="307"/>
      <c r="AY530" s="307"/>
      <c r="AZ530" s="307"/>
      <c r="BA530" s="307"/>
      <c r="BB530" s="307"/>
      <c r="BC530" s="307"/>
      <c r="BD530" s="307"/>
      <c r="BE530" s="307"/>
      <c r="BJ530" s="307"/>
      <c r="BK530" s="307"/>
      <c r="BL530" s="307"/>
      <c r="BM530" s="307"/>
      <c r="BN530" s="307"/>
      <c r="BO530" s="307"/>
      <c r="BP530" s="307"/>
      <c r="BQ530" s="307"/>
    </row>
    <row r="531" spans="3:69" s="306" customFormat="1" ht="11.75" customHeight="1" x14ac:dyDescent="0.15">
      <c r="G531" s="307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  <c r="R531" s="310"/>
      <c r="S531" s="310"/>
      <c r="T531" s="310"/>
      <c r="U531" s="310"/>
      <c r="V531" s="310"/>
      <c r="W531" s="310"/>
      <c r="X531" s="310"/>
      <c r="Y531" s="310"/>
      <c r="Z531" s="310"/>
      <c r="AA531" s="310"/>
      <c r="AB531" s="310"/>
      <c r="AC531" s="310"/>
      <c r="AD531" s="310"/>
      <c r="AE531" s="310"/>
      <c r="AJ531" s="307"/>
      <c r="AK531" s="307"/>
      <c r="AL531" s="307"/>
      <c r="AM531" s="307"/>
      <c r="AN531" s="307"/>
      <c r="AO531" s="307"/>
      <c r="AP531" s="307"/>
      <c r="AQ531" s="307"/>
      <c r="AR531" s="307"/>
      <c r="AX531" s="307"/>
      <c r="AY531" s="307"/>
      <c r="AZ531" s="307"/>
      <c r="BA531" s="307"/>
      <c r="BB531" s="307"/>
      <c r="BC531" s="307"/>
      <c r="BD531" s="307"/>
      <c r="BE531" s="301"/>
      <c r="BJ531" s="307"/>
      <c r="BK531" s="307"/>
      <c r="BL531" s="307"/>
      <c r="BM531" s="307"/>
      <c r="BN531" s="307"/>
      <c r="BO531" s="307"/>
      <c r="BP531" s="307"/>
      <c r="BQ531" s="301"/>
    </row>
    <row r="532" spans="3:69" s="306" customFormat="1" ht="11.75" customHeight="1" x14ac:dyDescent="0.15"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  <c r="Z532" s="307"/>
      <c r="AA532" s="307"/>
      <c r="AB532" s="307"/>
      <c r="AC532" s="307"/>
      <c r="AD532" s="307"/>
      <c r="AE532" s="307"/>
      <c r="AJ532" s="307"/>
      <c r="AK532" s="307"/>
      <c r="AL532" s="307"/>
      <c r="AM532" s="307"/>
      <c r="AN532" s="307"/>
      <c r="AO532" s="307"/>
      <c r="AP532" s="307"/>
      <c r="AQ532" s="307"/>
      <c r="AR532" s="307"/>
      <c r="AU532" s="327"/>
      <c r="AX532" s="307"/>
      <c r="AY532" s="307"/>
      <c r="AZ532" s="307"/>
      <c r="BA532" s="307"/>
      <c r="BB532" s="307"/>
      <c r="BC532" s="307"/>
      <c r="BD532" s="307"/>
      <c r="BE532" s="301"/>
      <c r="BG532" s="327"/>
      <c r="BJ532" s="307"/>
      <c r="BK532" s="307"/>
      <c r="BL532" s="307"/>
      <c r="BM532" s="307"/>
      <c r="BN532" s="307"/>
      <c r="BO532" s="307"/>
      <c r="BP532" s="307"/>
      <c r="BQ532" s="301"/>
    </row>
    <row r="533" spans="3:69" s="306" customFormat="1" ht="11.75" customHeight="1" x14ac:dyDescent="0.15">
      <c r="C533" s="31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  <c r="Z533" s="307"/>
      <c r="AA533" s="307"/>
      <c r="AB533" s="307"/>
      <c r="AC533" s="307"/>
      <c r="AD533" s="307"/>
      <c r="AE533" s="307"/>
      <c r="AH533" s="327"/>
      <c r="AJ533" s="307"/>
      <c r="AK533" s="307"/>
      <c r="AL533" s="307"/>
      <c r="AM533" s="307"/>
      <c r="AN533" s="307"/>
      <c r="AO533" s="307"/>
      <c r="AP533" s="307"/>
      <c r="AQ533" s="307"/>
      <c r="AR533" s="307"/>
      <c r="AX533" s="307"/>
      <c r="AY533" s="307"/>
      <c r="AZ533" s="307"/>
      <c r="BA533" s="307"/>
      <c r="BB533" s="307"/>
      <c r="BC533" s="307"/>
      <c r="BD533" s="307"/>
      <c r="BE533" s="307"/>
      <c r="BJ533" s="307"/>
      <c r="BK533" s="307"/>
      <c r="BL533" s="307"/>
      <c r="BM533" s="307"/>
      <c r="BN533" s="307"/>
      <c r="BO533" s="307"/>
      <c r="BP533" s="307"/>
      <c r="BQ533" s="307"/>
    </row>
    <row r="534" spans="3:69" s="306" customFormat="1" ht="11.75" customHeight="1" x14ac:dyDescent="0.15">
      <c r="G534" s="307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  <c r="R534" s="310"/>
      <c r="S534" s="310"/>
      <c r="T534" s="310"/>
      <c r="U534" s="310"/>
      <c r="V534" s="310"/>
      <c r="W534" s="310"/>
      <c r="X534" s="310"/>
      <c r="Y534" s="310"/>
      <c r="Z534" s="310"/>
      <c r="AA534" s="310"/>
      <c r="AB534" s="310"/>
      <c r="AC534" s="310"/>
      <c r="AD534" s="310"/>
      <c r="AE534" s="310"/>
      <c r="AJ534" s="307"/>
      <c r="AK534" s="307"/>
      <c r="AL534" s="307"/>
      <c r="AM534" s="307"/>
      <c r="AN534" s="307"/>
      <c r="AO534" s="307"/>
      <c r="AP534" s="307"/>
      <c r="AQ534" s="307"/>
      <c r="AR534" s="307"/>
      <c r="AX534" s="307"/>
      <c r="AY534" s="307"/>
      <c r="AZ534" s="307"/>
      <c r="BA534" s="307"/>
      <c r="BB534" s="307"/>
      <c r="BC534" s="307"/>
      <c r="BD534" s="307"/>
      <c r="BE534" s="307"/>
      <c r="BJ534" s="307"/>
      <c r="BK534" s="307"/>
      <c r="BL534" s="307"/>
      <c r="BM534" s="307"/>
      <c r="BN534" s="307"/>
      <c r="BO534" s="307"/>
      <c r="BP534" s="307"/>
      <c r="BQ534" s="307"/>
    </row>
    <row r="535" spans="3:69" s="306" customFormat="1" ht="11.75" customHeight="1" x14ac:dyDescent="0.15">
      <c r="G535" s="307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  <c r="R535" s="310"/>
      <c r="S535" s="310"/>
      <c r="T535" s="310"/>
      <c r="U535" s="310"/>
      <c r="V535" s="310"/>
      <c r="W535" s="310"/>
      <c r="X535" s="310"/>
      <c r="Y535" s="310"/>
      <c r="Z535" s="310"/>
      <c r="AA535" s="310"/>
      <c r="AB535" s="310"/>
      <c r="AC535" s="310"/>
      <c r="AD535" s="310"/>
      <c r="AE535" s="310"/>
      <c r="AJ535" s="307"/>
      <c r="AK535" s="307"/>
      <c r="AL535" s="307"/>
      <c r="AM535" s="307"/>
      <c r="AN535" s="307"/>
      <c r="AO535" s="307"/>
      <c r="AP535" s="307"/>
      <c r="AQ535" s="307"/>
      <c r="AR535" s="307"/>
      <c r="AX535" s="307"/>
      <c r="AY535" s="307"/>
      <c r="AZ535" s="307"/>
      <c r="BA535" s="307"/>
      <c r="BB535" s="307"/>
      <c r="BC535" s="307"/>
      <c r="BD535" s="307"/>
      <c r="BE535" s="307"/>
      <c r="BJ535" s="307"/>
      <c r="BK535" s="307"/>
      <c r="BL535" s="307"/>
      <c r="BM535" s="307"/>
      <c r="BN535" s="307"/>
      <c r="BO535" s="307"/>
      <c r="BP535" s="307"/>
      <c r="BQ535" s="307"/>
    </row>
    <row r="536" spans="3:69" s="306" customFormat="1" ht="11.75" customHeight="1" x14ac:dyDescent="0.15">
      <c r="G536" s="307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  <c r="R536" s="310"/>
      <c r="S536" s="310"/>
      <c r="T536" s="310"/>
      <c r="U536" s="310"/>
      <c r="V536" s="310"/>
      <c r="W536" s="310"/>
      <c r="X536" s="310"/>
      <c r="Y536" s="310"/>
      <c r="Z536" s="310"/>
      <c r="AA536" s="310"/>
      <c r="AB536" s="310"/>
      <c r="AC536" s="310"/>
      <c r="AD536" s="310"/>
      <c r="AE536" s="310"/>
      <c r="AJ536" s="307"/>
      <c r="AK536" s="330"/>
      <c r="AL536" s="330"/>
      <c r="AM536" s="330"/>
      <c r="AN536" s="330"/>
      <c r="AO536" s="330"/>
      <c r="AP536" s="330"/>
      <c r="AQ536" s="330"/>
      <c r="AR536" s="330"/>
      <c r="AX536" s="307"/>
      <c r="AY536" s="307"/>
      <c r="AZ536" s="307"/>
      <c r="BA536" s="307"/>
      <c r="BB536" s="307"/>
      <c r="BC536" s="307"/>
      <c r="BD536" s="307"/>
      <c r="BE536" s="307"/>
      <c r="BJ536" s="307"/>
      <c r="BK536" s="307"/>
      <c r="BL536" s="307"/>
      <c r="BM536" s="307"/>
      <c r="BN536" s="307"/>
      <c r="BO536" s="307"/>
      <c r="BP536" s="307"/>
      <c r="BQ536" s="307"/>
    </row>
    <row r="537" spans="3:69" s="306" customFormat="1" ht="11.75" customHeight="1" x14ac:dyDescent="0.15">
      <c r="G537" s="307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  <c r="R537" s="310"/>
      <c r="S537" s="310"/>
      <c r="T537" s="310"/>
      <c r="U537" s="310"/>
      <c r="V537" s="310"/>
      <c r="W537" s="310"/>
      <c r="X537" s="310"/>
      <c r="Y537" s="310"/>
      <c r="Z537" s="310"/>
      <c r="AA537" s="310"/>
      <c r="AB537" s="310"/>
      <c r="AC537" s="310"/>
      <c r="AD537" s="310"/>
      <c r="AE537" s="310"/>
      <c r="AJ537" s="307"/>
      <c r="AK537" s="307"/>
      <c r="AL537" s="307"/>
      <c r="AM537" s="307"/>
      <c r="AN537" s="307"/>
      <c r="AO537" s="307"/>
      <c r="AP537" s="307"/>
      <c r="AQ537" s="307"/>
      <c r="AR537" s="307"/>
      <c r="AX537" s="307"/>
      <c r="AY537" s="307"/>
      <c r="AZ537" s="307"/>
      <c r="BA537" s="307"/>
      <c r="BB537" s="307"/>
      <c r="BC537" s="307"/>
      <c r="BD537" s="307"/>
      <c r="BE537" s="301"/>
      <c r="BJ537" s="307"/>
      <c r="BK537" s="307"/>
      <c r="BL537" s="307"/>
      <c r="BM537" s="307"/>
      <c r="BN537" s="307"/>
      <c r="BO537" s="307"/>
      <c r="BP537" s="307"/>
      <c r="BQ537" s="301"/>
    </row>
    <row r="538" spans="3:69" s="306" customFormat="1" ht="11.75" customHeight="1" x14ac:dyDescent="0.15">
      <c r="G538" s="307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  <c r="R538" s="310"/>
      <c r="S538" s="310"/>
      <c r="T538" s="310"/>
      <c r="U538" s="310"/>
      <c r="V538" s="310"/>
      <c r="W538" s="310"/>
      <c r="X538" s="310"/>
      <c r="Y538" s="310"/>
      <c r="Z538" s="310"/>
      <c r="AA538" s="310"/>
      <c r="AB538" s="310"/>
      <c r="AC538" s="310"/>
      <c r="AD538" s="310"/>
      <c r="AE538" s="310"/>
      <c r="AJ538" s="307"/>
      <c r="AK538" s="307"/>
      <c r="AL538" s="307"/>
      <c r="AM538" s="307"/>
      <c r="AN538" s="307"/>
      <c r="AO538" s="307"/>
      <c r="AP538" s="307"/>
      <c r="AQ538" s="307"/>
      <c r="AR538" s="307"/>
      <c r="AU538" s="327"/>
      <c r="AX538" s="307"/>
      <c r="AY538" s="307"/>
      <c r="AZ538" s="307"/>
      <c r="BA538" s="307"/>
      <c r="BB538" s="307"/>
      <c r="BC538" s="307"/>
      <c r="BD538" s="307"/>
      <c r="BE538" s="301"/>
      <c r="BG538" s="327"/>
      <c r="BJ538" s="307"/>
      <c r="BK538" s="307"/>
      <c r="BL538" s="307"/>
      <c r="BM538" s="307"/>
      <c r="BN538" s="307"/>
      <c r="BO538" s="307"/>
      <c r="BP538" s="307"/>
      <c r="BQ538" s="301"/>
    </row>
    <row r="539" spans="3:69" s="306" customFormat="1" ht="11.75" customHeight="1" x14ac:dyDescent="0.15">
      <c r="G539" s="307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  <c r="R539" s="310"/>
      <c r="S539" s="310"/>
      <c r="T539" s="310"/>
      <c r="U539" s="310"/>
      <c r="V539" s="310"/>
      <c r="W539" s="310"/>
      <c r="X539" s="310"/>
      <c r="Y539" s="310"/>
      <c r="Z539" s="310"/>
      <c r="AA539" s="310"/>
      <c r="AB539" s="310"/>
      <c r="AC539" s="310"/>
      <c r="AD539" s="310"/>
      <c r="AE539" s="310"/>
      <c r="AH539" s="327"/>
      <c r="AJ539" s="307"/>
      <c r="AK539" s="307"/>
      <c r="AL539" s="307"/>
      <c r="AM539" s="307"/>
      <c r="AN539" s="307"/>
      <c r="AO539" s="307"/>
      <c r="AP539" s="307"/>
      <c r="AQ539" s="307"/>
      <c r="AR539" s="307"/>
      <c r="AX539" s="307"/>
      <c r="AY539" s="307"/>
      <c r="AZ539" s="307"/>
      <c r="BA539" s="307"/>
      <c r="BB539" s="307"/>
      <c r="BC539" s="307"/>
      <c r="BD539" s="307"/>
      <c r="BE539" s="307"/>
      <c r="BJ539" s="307"/>
      <c r="BK539" s="307"/>
      <c r="BL539" s="307"/>
      <c r="BM539" s="307"/>
      <c r="BN539" s="307"/>
      <c r="BO539" s="307"/>
      <c r="BP539" s="307"/>
      <c r="BQ539" s="307"/>
    </row>
    <row r="540" spans="3:69" s="306" customFormat="1" ht="11.75" customHeight="1" x14ac:dyDescent="0.15">
      <c r="G540" s="307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  <c r="R540" s="310"/>
      <c r="S540" s="310"/>
      <c r="T540" s="310"/>
      <c r="U540" s="310"/>
      <c r="V540" s="310"/>
      <c r="W540" s="310"/>
      <c r="X540" s="310"/>
      <c r="Y540" s="310"/>
      <c r="Z540" s="310"/>
      <c r="AA540" s="310"/>
      <c r="AB540" s="310"/>
      <c r="AC540" s="310"/>
      <c r="AD540" s="310"/>
      <c r="AE540" s="310"/>
      <c r="AJ540" s="307"/>
      <c r="AK540" s="307"/>
      <c r="AL540" s="307"/>
      <c r="AM540" s="307"/>
      <c r="AN540" s="307"/>
      <c r="AO540" s="307"/>
      <c r="AP540" s="307"/>
      <c r="AQ540" s="307"/>
      <c r="AR540" s="307"/>
      <c r="AX540" s="307"/>
      <c r="AY540" s="307"/>
      <c r="AZ540" s="307"/>
      <c r="BA540" s="307"/>
      <c r="BB540" s="307"/>
      <c r="BC540" s="307"/>
      <c r="BD540" s="307"/>
      <c r="BE540" s="307"/>
      <c r="BJ540" s="307"/>
      <c r="BK540" s="307"/>
      <c r="BL540" s="307"/>
      <c r="BM540" s="307"/>
      <c r="BN540" s="307"/>
      <c r="BO540" s="307"/>
      <c r="BP540" s="307"/>
      <c r="BQ540" s="307"/>
    </row>
    <row r="541" spans="3:69" s="306" customFormat="1" ht="11.75" customHeight="1" x14ac:dyDescent="0.15">
      <c r="D541" s="327"/>
      <c r="G541" s="307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  <c r="R541" s="310"/>
      <c r="S541" s="310"/>
      <c r="T541" s="310"/>
      <c r="U541" s="310"/>
      <c r="V541" s="310"/>
      <c r="W541" s="310"/>
      <c r="X541" s="310"/>
      <c r="Y541" s="310"/>
      <c r="Z541" s="310"/>
      <c r="AA541" s="310"/>
      <c r="AB541" s="310"/>
      <c r="AC541" s="310"/>
      <c r="AD541" s="310"/>
      <c r="AE541" s="310"/>
      <c r="AJ541" s="307"/>
      <c r="AK541" s="307"/>
      <c r="AL541" s="307"/>
      <c r="AM541" s="307"/>
      <c r="AN541" s="307"/>
      <c r="AO541" s="307"/>
      <c r="AP541" s="307"/>
      <c r="AQ541" s="307"/>
      <c r="AR541" s="307"/>
      <c r="AX541" s="307"/>
      <c r="AY541" s="307"/>
      <c r="AZ541" s="307"/>
      <c r="BA541" s="307"/>
      <c r="BB541" s="307"/>
      <c r="BC541" s="307"/>
      <c r="BD541" s="307"/>
      <c r="BE541" s="307"/>
      <c r="BJ541" s="307"/>
      <c r="BK541" s="307"/>
      <c r="BL541" s="307"/>
      <c r="BM541" s="307"/>
      <c r="BN541" s="307"/>
      <c r="BO541" s="307"/>
      <c r="BP541" s="307"/>
      <c r="BQ541" s="307"/>
    </row>
    <row r="542" spans="3:69" s="306" customFormat="1" ht="11.75" customHeight="1" x14ac:dyDescent="0.15">
      <c r="G542" s="307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  <c r="R542" s="310"/>
      <c r="S542" s="310"/>
      <c r="T542" s="310"/>
      <c r="U542" s="310"/>
      <c r="V542" s="310"/>
      <c r="W542" s="310"/>
      <c r="X542" s="310"/>
      <c r="Y542" s="310"/>
      <c r="Z542" s="310"/>
      <c r="AA542" s="310"/>
      <c r="AB542" s="310"/>
      <c r="AC542" s="310"/>
      <c r="AD542" s="310"/>
      <c r="AE542" s="310"/>
      <c r="AJ542" s="307"/>
      <c r="AK542" s="330"/>
      <c r="AL542" s="330"/>
      <c r="AM542" s="330"/>
      <c r="AN542" s="330"/>
      <c r="AO542" s="330"/>
      <c r="AP542" s="330"/>
      <c r="AQ542" s="330"/>
      <c r="AR542" s="330"/>
      <c r="AX542" s="307"/>
      <c r="AY542" s="307"/>
      <c r="AZ542" s="307"/>
      <c r="BA542" s="307"/>
      <c r="BB542" s="307"/>
      <c r="BC542" s="307"/>
      <c r="BD542" s="307"/>
      <c r="BE542" s="307"/>
      <c r="BJ542" s="307"/>
      <c r="BK542" s="307"/>
      <c r="BL542" s="307"/>
      <c r="BM542" s="307"/>
      <c r="BN542" s="307"/>
      <c r="BO542" s="307"/>
      <c r="BP542" s="307"/>
      <c r="BQ542" s="307"/>
    </row>
    <row r="543" spans="3:69" s="306" customFormat="1" ht="11.75" customHeight="1" x14ac:dyDescent="0.15">
      <c r="D543" s="327"/>
      <c r="G543" s="307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  <c r="R543" s="310"/>
      <c r="S543" s="310"/>
      <c r="T543" s="310"/>
      <c r="U543" s="310"/>
      <c r="V543" s="310"/>
      <c r="W543" s="310"/>
      <c r="X543" s="310"/>
      <c r="Y543" s="310"/>
      <c r="Z543" s="310"/>
      <c r="AA543" s="310"/>
      <c r="AB543" s="310"/>
      <c r="AC543" s="310"/>
      <c r="AD543" s="310"/>
      <c r="AE543" s="310"/>
      <c r="AJ543" s="307"/>
      <c r="AK543" s="307"/>
      <c r="AL543" s="307"/>
      <c r="AM543" s="307"/>
      <c r="AN543" s="307"/>
      <c r="AO543" s="307"/>
      <c r="AP543" s="307"/>
      <c r="AQ543" s="307"/>
      <c r="AR543" s="307"/>
      <c r="AX543" s="307"/>
      <c r="AY543" s="307"/>
      <c r="AZ543" s="307"/>
      <c r="BA543" s="307"/>
      <c r="BB543" s="307"/>
      <c r="BC543" s="307"/>
      <c r="BD543" s="307"/>
      <c r="BE543" s="301"/>
      <c r="BJ543" s="307"/>
      <c r="BK543" s="307"/>
      <c r="BL543" s="307"/>
      <c r="BM543" s="307"/>
      <c r="BN543" s="307"/>
      <c r="BO543" s="307"/>
      <c r="BP543" s="307"/>
      <c r="BQ543" s="301"/>
    </row>
    <row r="544" spans="3:69" s="306" customFormat="1" ht="11.75" customHeight="1" x14ac:dyDescent="0.15">
      <c r="G544" s="307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  <c r="R544" s="310"/>
      <c r="S544" s="310"/>
      <c r="T544" s="310"/>
      <c r="U544" s="310"/>
      <c r="V544" s="310"/>
      <c r="W544" s="310"/>
      <c r="X544" s="310"/>
      <c r="Y544" s="310"/>
      <c r="Z544" s="310"/>
      <c r="AA544" s="310"/>
      <c r="AB544" s="310"/>
      <c r="AC544" s="310"/>
      <c r="AD544" s="310"/>
      <c r="AE544" s="310"/>
      <c r="AJ544" s="307"/>
      <c r="AK544" s="307"/>
      <c r="AL544" s="307"/>
      <c r="AM544" s="307"/>
      <c r="AN544" s="307"/>
      <c r="AO544" s="307"/>
      <c r="AP544" s="307"/>
      <c r="AQ544" s="307"/>
      <c r="AR544" s="307"/>
      <c r="AU544" s="327"/>
      <c r="AX544" s="307"/>
      <c r="AY544" s="307"/>
      <c r="AZ544" s="307"/>
      <c r="BA544" s="307"/>
      <c r="BB544" s="307"/>
      <c r="BC544" s="307"/>
      <c r="BD544" s="307"/>
      <c r="BE544" s="301"/>
      <c r="BG544" s="327"/>
      <c r="BJ544" s="307"/>
      <c r="BK544" s="307"/>
      <c r="BL544" s="307"/>
      <c r="BM544" s="307"/>
      <c r="BN544" s="307"/>
      <c r="BO544" s="307"/>
      <c r="BP544" s="307"/>
      <c r="BQ544" s="301"/>
    </row>
    <row r="545" spans="4:69" s="306" customFormat="1" ht="11.75" customHeight="1" x14ac:dyDescent="0.15">
      <c r="D545" s="327"/>
      <c r="G545" s="307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  <c r="R545" s="310"/>
      <c r="S545" s="310"/>
      <c r="T545" s="310"/>
      <c r="U545" s="310"/>
      <c r="V545" s="310"/>
      <c r="W545" s="310"/>
      <c r="X545" s="310"/>
      <c r="Y545" s="310"/>
      <c r="Z545" s="310"/>
      <c r="AA545" s="310"/>
      <c r="AB545" s="310"/>
      <c r="AC545" s="310"/>
      <c r="AD545" s="310"/>
      <c r="AE545" s="310"/>
      <c r="AH545" s="327"/>
      <c r="AJ545" s="307"/>
      <c r="AK545" s="307"/>
      <c r="AL545" s="307"/>
      <c r="AM545" s="307"/>
      <c r="AN545" s="307"/>
      <c r="AO545" s="307"/>
      <c r="AP545" s="307"/>
      <c r="AQ545" s="307"/>
      <c r="AR545" s="307"/>
      <c r="AX545" s="307"/>
      <c r="AY545" s="307"/>
      <c r="AZ545" s="307"/>
      <c r="BA545" s="307"/>
      <c r="BB545" s="307"/>
      <c r="BC545" s="307"/>
      <c r="BD545" s="307"/>
      <c r="BE545" s="307"/>
      <c r="BJ545" s="307"/>
      <c r="BK545" s="307"/>
      <c r="BL545" s="307"/>
      <c r="BM545" s="307"/>
      <c r="BN545" s="307"/>
      <c r="BO545" s="307"/>
      <c r="BP545" s="307"/>
      <c r="BQ545" s="307"/>
    </row>
    <row r="546" spans="4:69" s="306" customFormat="1" ht="11.75" customHeight="1" x14ac:dyDescent="0.15">
      <c r="G546" s="307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  <c r="R546" s="310"/>
      <c r="S546" s="310"/>
      <c r="T546" s="310"/>
      <c r="U546" s="310"/>
      <c r="V546" s="310"/>
      <c r="W546" s="310"/>
      <c r="X546" s="310"/>
      <c r="Y546" s="310"/>
      <c r="Z546" s="310"/>
      <c r="AA546" s="310"/>
      <c r="AB546" s="310"/>
      <c r="AC546" s="310"/>
      <c r="AD546" s="310"/>
      <c r="AE546" s="310"/>
      <c r="AJ546" s="307"/>
      <c r="AK546" s="307"/>
      <c r="AL546" s="307"/>
      <c r="AM546" s="307"/>
      <c r="AN546" s="307"/>
      <c r="AO546" s="307"/>
      <c r="AP546" s="307"/>
      <c r="AQ546" s="307"/>
      <c r="AR546" s="307"/>
      <c r="AX546" s="307"/>
      <c r="AY546" s="307"/>
      <c r="AZ546" s="307"/>
      <c r="BA546" s="307"/>
      <c r="BB546" s="307"/>
      <c r="BC546" s="307"/>
      <c r="BD546" s="307"/>
      <c r="BE546" s="307"/>
      <c r="BJ546" s="307"/>
      <c r="BK546" s="307"/>
      <c r="BL546" s="307"/>
      <c r="BM546" s="307"/>
      <c r="BN546" s="307"/>
      <c r="BO546" s="307"/>
      <c r="BP546" s="307"/>
      <c r="BQ546" s="307"/>
    </row>
    <row r="547" spans="4:69" s="306" customFormat="1" ht="11.75" customHeight="1" x14ac:dyDescent="0.15">
      <c r="D547" s="327"/>
      <c r="G547" s="307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  <c r="R547" s="310"/>
      <c r="S547" s="310"/>
      <c r="T547" s="310"/>
      <c r="U547" s="310"/>
      <c r="V547" s="310"/>
      <c r="W547" s="310"/>
      <c r="X547" s="310"/>
      <c r="Y547" s="310"/>
      <c r="Z547" s="310"/>
      <c r="AA547" s="310"/>
      <c r="AB547" s="310"/>
      <c r="AC547" s="310"/>
      <c r="AD547" s="310"/>
      <c r="AE547" s="310"/>
      <c r="AJ547" s="307"/>
      <c r="AK547" s="307"/>
      <c r="AL547" s="307"/>
      <c r="AM547" s="307"/>
      <c r="AN547" s="307"/>
      <c r="AO547" s="307"/>
      <c r="AP547" s="307"/>
      <c r="AQ547" s="307"/>
      <c r="AR547" s="307"/>
      <c r="AX547" s="307"/>
      <c r="AY547" s="307"/>
      <c r="AZ547" s="307"/>
      <c r="BA547" s="307"/>
      <c r="BB547" s="307"/>
      <c r="BC547" s="307"/>
      <c r="BD547" s="307"/>
      <c r="BE547" s="307"/>
      <c r="BJ547" s="307"/>
      <c r="BK547" s="307"/>
      <c r="BL547" s="307"/>
      <c r="BM547" s="307"/>
      <c r="BN547" s="307"/>
      <c r="BO547" s="307"/>
      <c r="BP547" s="307"/>
      <c r="BQ547" s="307"/>
    </row>
    <row r="548" spans="4:69" s="306" customFormat="1" ht="11.75" customHeight="1" x14ac:dyDescent="0.15">
      <c r="G548" s="307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  <c r="R548" s="310"/>
      <c r="S548" s="310"/>
      <c r="T548" s="310"/>
      <c r="U548" s="310"/>
      <c r="V548" s="310"/>
      <c r="W548" s="310"/>
      <c r="X548" s="310"/>
      <c r="Y548" s="310"/>
      <c r="Z548" s="310"/>
      <c r="AA548" s="310"/>
      <c r="AB548" s="310"/>
      <c r="AC548" s="310"/>
      <c r="AD548" s="310"/>
      <c r="AE548" s="310"/>
      <c r="AJ548" s="307"/>
      <c r="AK548" s="330"/>
      <c r="AL548" s="330"/>
      <c r="AM548" s="330"/>
      <c r="AN548" s="330"/>
      <c r="AO548" s="330"/>
      <c r="AP548" s="330"/>
      <c r="AQ548" s="330"/>
      <c r="AR548" s="330"/>
      <c r="AX548" s="307"/>
      <c r="AY548" s="307"/>
      <c r="AZ548" s="307"/>
      <c r="BA548" s="307"/>
      <c r="BB548" s="307"/>
      <c r="BC548" s="307"/>
      <c r="BD548" s="307"/>
      <c r="BE548" s="307"/>
      <c r="BJ548" s="307"/>
      <c r="BK548" s="307"/>
      <c r="BL548" s="307"/>
      <c r="BM548" s="307"/>
      <c r="BN548" s="307"/>
      <c r="BO548" s="307"/>
      <c r="BP548" s="307"/>
      <c r="BQ548" s="307"/>
    </row>
    <row r="549" spans="4:69" s="306" customFormat="1" ht="11.75" customHeight="1" x14ac:dyDescent="0.15">
      <c r="D549" s="327"/>
      <c r="G549" s="307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  <c r="R549" s="310"/>
      <c r="S549" s="310"/>
      <c r="T549" s="310"/>
      <c r="U549" s="310"/>
      <c r="V549" s="310"/>
      <c r="W549" s="310"/>
      <c r="X549" s="310"/>
      <c r="Y549" s="310"/>
      <c r="Z549" s="310"/>
      <c r="AA549" s="310"/>
      <c r="AB549" s="310"/>
      <c r="AC549" s="310"/>
      <c r="AD549" s="310"/>
      <c r="AE549" s="310"/>
      <c r="AJ549" s="307"/>
      <c r="AK549" s="307"/>
      <c r="AL549" s="307"/>
      <c r="AM549" s="307"/>
      <c r="AN549" s="307"/>
      <c r="AO549" s="307"/>
      <c r="AP549" s="307"/>
      <c r="AQ549" s="307"/>
      <c r="AR549" s="307"/>
      <c r="AX549" s="307"/>
      <c r="AY549" s="307"/>
      <c r="AZ549" s="307"/>
      <c r="BA549" s="307"/>
      <c r="BB549" s="307"/>
      <c r="BC549" s="307"/>
      <c r="BD549" s="307"/>
      <c r="BE549" s="301"/>
      <c r="BJ549" s="307"/>
      <c r="BK549" s="307"/>
      <c r="BL549" s="307"/>
      <c r="BM549" s="307"/>
      <c r="BN549" s="307"/>
      <c r="BO549" s="307"/>
      <c r="BP549" s="307"/>
      <c r="BQ549" s="301"/>
    </row>
    <row r="550" spans="4:69" s="306" customFormat="1" ht="11.75" customHeight="1" x14ac:dyDescent="0.15">
      <c r="G550" s="307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  <c r="R550" s="310"/>
      <c r="S550" s="310"/>
      <c r="T550" s="310"/>
      <c r="U550" s="310"/>
      <c r="V550" s="310"/>
      <c r="W550" s="310"/>
      <c r="X550" s="310"/>
      <c r="Y550" s="310"/>
      <c r="Z550" s="310"/>
      <c r="AA550" s="310"/>
      <c r="AB550" s="310"/>
      <c r="AC550" s="310"/>
      <c r="AD550" s="310"/>
      <c r="AE550" s="310"/>
      <c r="AJ550" s="307"/>
      <c r="AK550" s="307"/>
      <c r="AL550" s="307"/>
      <c r="AM550" s="307"/>
      <c r="AN550" s="307"/>
      <c r="AO550" s="307"/>
      <c r="AP550" s="307"/>
      <c r="AQ550" s="307"/>
      <c r="AR550" s="307"/>
      <c r="AU550" s="327"/>
      <c r="AX550" s="307"/>
      <c r="AY550" s="307"/>
      <c r="AZ550" s="307"/>
      <c r="BA550" s="307"/>
      <c r="BB550" s="307"/>
      <c r="BC550" s="307"/>
      <c r="BD550" s="307"/>
      <c r="BE550" s="301"/>
      <c r="BG550" s="327"/>
      <c r="BJ550" s="307"/>
      <c r="BK550" s="307"/>
      <c r="BL550" s="307"/>
      <c r="BM550" s="307"/>
      <c r="BN550" s="307"/>
      <c r="BO550" s="307"/>
      <c r="BP550" s="307"/>
      <c r="BQ550" s="301"/>
    </row>
    <row r="551" spans="4:69" s="306" customFormat="1" ht="11.75" customHeight="1" x14ac:dyDescent="0.15">
      <c r="D551" s="327"/>
      <c r="G551" s="307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  <c r="R551" s="310"/>
      <c r="S551" s="310"/>
      <c r="T551" s="310"/>
      <c r="U551" s="310"/>
      <c r="V551" s="310"/>
      <c r="W551" s="310"/>
      <c r="X551" s="310"/>
      <c r="Y551" s="310"/>
      <c r="Z551" s="310"/>
      <c r="AA551" s="310"/>
      <c r="AB551" s="310"/>
      <c r="AC551" s="310"/>
      <c r="AD551" s="310"/>
      <c r="AE551" s="310"/>
      <c r="AH551" s="327"/>
      <c r="AJ551" s="307"/>
      <c r="AK551" s="307"/>
      <c r="AL551" s="307"/>
      <c r="AM551" s="307"/>
      <c r="AN551" s="307"/>
      <c r="AO551" s="307"/>
      <c r="AP551" s="307"/>
      <c r="AQ551" s="307"/>
      <c r="AR551" s="307"/>
      <c r="AX551" s="307"/>
      <c r="AY551" s="307"/>
      <c r="AZ551" s="307"/>
      <c r="BA551" s="307"/>
      <c r="BB551" s="307"/>
      <c r="BC551" s="307"/>
      <c r="BD551" s="307"/>
      <c r="BE551" s="307"/>
      <c r="BJ551" s="307"/>
      <c r="BK551" s="307"/>
      <c r="BL551" s="307"/>
      <c r="BM551" s="307"/>
      <c r="BN551" s="307"/>
      <c r="BO551" s="307"/>
      <c r="BP551" s="307"/>
      <c r="BQ551" s="307"/>
    </row>
    <row r="552" spans="4:69" s="306" customFormat="1" ht="11.75" customHeight="1" x14ac:dyDescent="0.15">
      <c r="G552" s="307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  <c r="R552" s="310"/>
      <c r="S552" s="310"/>
      <c r="T552" s="310"/>
      <c r="U552" s="310"/>
      <c r="V552" s="310"/>
      <c r="W552" s="310"/>
      <c r="X552" s="310"/>
      <c r="Y552" s="310"/>
      <c r="Z552" s="310"/>
      <c r="AA552" s="310"/>
      <c r="AB552" s="310"/>
      <c r="AC552" s="310"/>
      <c r="AD552" s="310"/>
      <c r="AE552" s="310"/>
      <c r="AJ552" s="307"/>
      <c r="AK552" s="307"/>
      <c r="AL552" s="307"/>
      <c r="AM552" s="307"/>
      <c r="AN552" s="307"/>
      <c r="AO552" s="307"/>
      <c r="AP552" s="307"/>
      <c r="AQ552" s="307"/>
      <c r="AR552" s="307"/>
      <c r="AX552" s="307"/>
      <c r="AY552" s="307"/>
      <c r="AZ552" s="307"/>
      <c r="BA552" s="307"/>
      <c r="BB552" s="307"/>
      <c r="BC552" s="307"/>
      <c r="BD552" s="307"/>
      <c r="BE552" s="307"/>
      <c r="BJ552" s="307"/>
      <c r="BK552" s="307"/>
      <c r="BL552" s="307"/>
      <c r="BM552" s="307"/>
      <c r="BN552" s="307"/>
      <c r="BO552" s="307"/>
      <c r="BP552" s="307"/>
      <c r="BQ552" s="307"/>
    </row>
    <row r="553" spans="4:69" s="306" customFormat="1" ht="11.75" customHeight="1" x14ac:dyDescent="0.15">
      <c r="D553" s="327"/>
      <c r="G553" s="307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  <c r="R553" s="310"/>
      <c r="S553" s="310"/>
      <c r="T553" s="310"/>
      <c r="U553" s="310"/>
      <c r="V553" s="310"/>
      <c r="W553" s="310"/>
      <c r="X553" s="310"/>
      <c r="Y553" s="310"/>
      <c r="Z553" s="310"/>
      <c r="AA553" s="310"/>
      <c r="AB553" s="310"/>
      <c r="AC553" s="310"/>
      <c r="AD553" s="310"/>
      <c r="AE553" s="310"/>
      <c r="AJ553" s="307"/>
      <c r="AK553" s="307"/>
      <c r="AL553" s="307"/>
      <c r="AM553" s="307"/>
      <c r="AN553" s="307"/>
      <c r="AO553" s="307"/>
      <c r="AP553" s="307"/>
      <c r="AQ553" s="307"/>
      <c r="AR553" s="307"/>
      <c r="AX553" s="307"/>
      <c r="AY553" s="307"/>
      <c r="AZ553" s="307"/>
      <c r="BA553" s="307"/>
      <c r="BB553" s="307"/>
      <c r="BC553" s="307"/>
      <c r="BD553" s="307"/>
      <c r="BE553" s="307"/>
      <c r="BJ553" s="307"/>
      <c r="BK553" s="307"/>
      <c r="BL553" s="307"/>
      <c r="BM553" s="307"/>
      <c r="BN553" s="307"/>
      <c r="BO553" s="307"/>
      <c r="BP553" s="307"/>
      <c r="BQ553" s="307"/>
    </row>
    <row r="554" spans="4:69" s="306" customFormat="1" ht="11.75" customHeight="1" x14ac:dyDescent="0.15">
      <c r="G554" s="307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  <c r="R554" s="310"/>
      <c r="S554" s="310"/>
      <c r="T554" s="310"/>
      <c r="U554" s="310"/>
      <c r="V554" s="310"/>
      <c r="W554" s="310"/>
      <c r="X554" s="310"/>
      <c r="Y554" s="310"/>
      <c r="Z554" s="310"/>
      <c r="AA554" s="310"/>
      <c r="AB554" s="310"/>
      <c r="AC554" s="310"/>
      <c r="AD554" s="310"/>
      <c r="AE554" s="310"/>
      <c r="AJ554" s="307"/>
      <c r="AK554" s="330"/>
      <c r="AL554" s="330"/>
      <c r="AM554" s="330"/>
      <c r="AN554" s="330"/>
      <c r="AO554" s="330"/>
      <c r="AP554" s="330"/>
      <c r="AQ554" s="330"/>
      <c r="AR554" s="330"/>
      <c r="AX554" s="307"/>
      <c r="AY554" s="307"/>
      <c r="AZ554" s="307"/>
      <c r="BA554" s="307"/>
      <c r="BB554" s="307"/>
      <c r="BC554" s="307"/>
      <c r="BD554" s="307"/>
      <c r="BE554" s="307"/>
      <c r="BJ554" s="307"/>
      <c r="BK554" s="307"/>
      <c r="BL554" s="307"/>
      <c r="BM554" s="307"/>
      <c r="BN554" s="307"/>
      <c r="BO554" s="307"/>
      <c r="BP554" s="307"/>
      <c r="BQ554" s="307"/>
    </row>
    <row r="555" spans="4:69" s="306" customFormat="1" ht="11.75" customHeight="1" x14ac:dyDescent="0.15">
      <c r="D555" s="327"/>
      <c r="G555" s="307"/>
      <c r="H555" s="310"/>
      <c r="I555" s="310"/>
      <c r="J555" s="310"/>
      <c r="K555" s="310"/>
      <c r="L555" s="310"/>
      <c r="M555" s="310"/>
      <c r="N555" s="310"/>
      <c r="O555" s="310"/>
      <c r="P555" s="310"/>
      <c r="Q555" s="310"/>
      <c r="R555" s="310"/>
      <c r="S555" s="310"/>
      <c r="T555" s="310"/>
      <c r="U555" s="310"/>
      <c r="V555" s="310"/>
      <c r="W555" s="310"/>
      <c r="X555" s="310"/>
      <c r="Y555" s="310"/>
      <c r="Z555" s="310"/>
      <c r="AA555" s="310"/>
      <c r="AB555" s="310"/>
      <c r="AC555" s="310"/>
      <c r="AD555" s="310"/>
      <c r="AE555" s="310"/>
      <c r="AJ555" s="307"/>
      <c r="AK555" s="307"/>
      <c r="AL555" s="307"/>
      <c r="AM555" s="307"/>
      <c r="AN555" s="307"/>
      <c r="AO555" s="307"/>
      <c r="AP555" s="307"/>
      <c r="AQ555" s="307"/>
      <c r="AR555" s="307"/>
      <c r="AX555" s="307"/>
      <c r="AY555" s="307"/>
      <c r="AZ555" s="307"/>
      <c r="BA555" s="307"/>
      <c r="BB555" s="307"/>
      <c r="BC555" s="307"/>
      <c r="BD555" s="307"/>
      <c r="BE555" s="301"/>
      <c r="BJ555" s="307"/>
      <c r="BK555" s="307"/>
      <c r="BL555" s="307"/>
      <c r="BM555" s="307"/>
      <c r="BN555" s="307"/>
      <c r="BO555" s="307"/>
      <c r="BP555" s="307"/>
      <c r="BQ555" s="301"/>
    </row>
    <row r="556" spans="4:69" s="306" customFormat="1" ht="11.75" customHeight="1" x14ac:dyDescent="0.15">
      <c r="G556" s="307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  <c r="R556" s="310"/>
      <c r="S556" s="310"/>
      <c r="T556" s="310"/>
      <c r="U556" s="310"/>
      <c r="V556" s="310"/>
      <c r="W556" s="310"/>
      <c r="X556" s="310"/>
      <c r="Y556" s="310"/>
      <c r="Z556" s="310"/>
      <c r="AA556" s="310"/>
      <c r="AB556" s="310"/>
      <c r="AC556" s="310"/>
      <c r="AD556" s="310"/>
      <c r="AE556" s="310"/>
      <c r="AJ556" s="307"/>
      <c r="AK556" s="307"/>
      <c r="AL556" s="307"/>
      <c r="AM556" s="307"/>
      <c r="AN556" s="307"/>
      <c r="AO556" s="307"/>
      <c r="AP556" s="307"/>
      <c r="AQ556" s="307"/>
      <c r="AR556" s="307"/>
      <c r="AU556" s="327"/>
      <c r="AX556" s="307"/>
      <c r="AY556" s="307"/>
      <c r="AZ556" s="307"/>
      <c r="BA556" s="307"/>
      <c r="BB556" s="307"/>
      <c r="BC556" s="307"/>
      <c r="BD556" s="307"/>
      <c r="BE556" s="301"/>
      <c r="BG556" s="327"/>
      <c r="BJ556" s="307"/>
      <c r="BK556" s="307"/>
      <c r="BL556" s="307"/>
      <c r="BM556" s="307"/>
      <c r="BN556" s="307"/>
      <c r="BO556" s="307"/>
      <c r="BP556" s="307"/>
      <c r="BQ556" s="301"/>
    </row>
    <row r="557" spans="4:69" s="306" customFormat="1" ht="11.75" customHeight="1" x14ac:dyDescent="0.15">
      <c r="D557" s="327"/>
      <c r="G557" s="307"/>
      <c r="H557" s="310"/>
      <c r="I557" s="310"/>
      <c r="J557" s="310"/>
      <c r="K557" s="310"/>
      <c r="L557" s="310"/>
      <c r="M557" s="310"/>
      <c r="N557" s="310"/>
      <c r="O557" s="310"/>
      <c r="P557" s="310"/>
      <c r="Q557" s="310"/>
      <c r="R557" s="310"/>
      <c r="S557" s="310"/>
      <c r="T557" s="310"/>
      <c r="U557" s="310"/>
      <c r="V557" s="310"/>
      <c r="W557" s="310"/>
      <c r="X557" s="310"/>
      <c r="Y557" s="310"/>
      <c r="Z557" s="310"/>
      <c r="AA557" s="310"/>
      <c r="AB557" s="310"/>
      <c r="AC557" s="310"/>
      <c r="AD557" s="310"/>
      <c r="AE557" s="310"/>
      <c r="AH557" s="327"/>
      <c r="AJ557" s="307"/>
      <c r="AK557" s="307"/>
      <c r="AL557" s="307"/>
      <c r="AM557" s="307"/>
      <c r="AN557" s="307"/>
      <c r="AO557" s="307"/>
      <c r="AP557" s="307"/>
      <c r="AQ557" s="307"/>
      <c r="AR557" s="307"/>
      <c r="AX557" s="307"/>
      <c r="AY557" s="307"/>
      <c r="AZ557" s="307"/>
      <c r="BA557" s="307"/>
      <c r="BB557" s="307"/>
      <c r="BC557" s="307"/>
      <c r="BD557" s="307"/>
      <c r="BE557" s="307"/>
      <c r="BJ557" s="307"/>
      <c r="BK557" s="307"/>
      <c r="BL557" s="307"/>
      <c r="BM557" s="307"/>
      <c r="BN557" s="307"/>
      <c r="BO557" s="307"/>
      <c r="BP557" s="307"/>
      <c r="BQ557" s="307"/>
    </row>
    <row r="558" spans="4:69" s="306" customFormat="1" ht="11.75" customHeight="1" x14ac:dyDescent="0.15">
      <c r="G558" s="307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  <c r="R558" s="310"/>
      <c r="S558" s="310"/>
      <c r="T558" s="310"/>
      <c r="U558" s="310"/>
      <c r="V558" s="310"/>
      <c r="W558" s="310"/>
      <c r="X558" s="310"/>
      <c r="Y558" s="310"/>
      <c r="Z558" s="310"/>
      <c r="AA558" s="310"/>
      <c r="AB558" s="310"/>
      <c r="AC558" s="310"/>
      <c r="AD558" s="310"/>
      <c r="AE558" s="310"/>
      <c r="AJ558" s="307"/>
      <c r="AK558" s="307"/>
      <c r="AL558" s="307"/>
      <c r="AM558" s="307"/>
      <c r="AN558" s="307"/>
      <c r="AO558" s="307"/>
      <c r="AP558" s="307"/>
      <c r="AQ558" s="307"/>
      <c r="AR558" s="307"/>
      <c r="AX558" s="307"/>
      <c r="AY558" s="307"/>
      <c r="AZ558" s="307"/>
      <c r="BA558" s="307"/>
      <c r="BB558" s="307"/>
      <c r="BC558" s="307"/>
      <c r="BD558" s="307"/>
      <c r="BE558" s="307"/>
      <c r="BJ558" s="307"/>
      <c r="BK558" s="307"/>
      <c r="BL558" s="307"/>
      <c r="BM558" s="307"/>
      <c r="BN558" s="307"/>
      <c r="BO558" s="307"/>
      <c r="BP558" s="307"/>
      <c r="BQ558" s="307"/>
    </row>
    <row r="559" spans="4:69" s="306" customFormat="1" ht="11.75" customHeight="1" x14ac:dyDescent="0.15">
      <c r="D559" s="327"/>
      <c r="G559" s="307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  <c r="R559" s="310"/>
      <c r="S559" s="310"/>
      <c r="T559" s="310"/>
      <c r="U559" s="310"/>
      <c r="V559" s="310"/>
      <c r="W559" s="310"/>
      <c r="X559" s="310"/>
      <c r="Y559" s="310"/>
      <c r="Z559" s="310"/>
      <c r="AA559" s="310"/>
      <c r="AB559" s="310"/>
      <c r="AC559" s="310"/>
      <c r="AD559" s="310"/>
      <c r="AE559" s="310"/>
      <c r="AJ559" s="307"/>
      <c r="AK559" s="307"/>
      <c r="AL559" s="307"/>
      <c r="AM559" s="307"/>
      <c r="AN559" s="307"/>
      <c r="AO559" s="307"/>
      <c r="AP559" s="307"/>
      <c r="AQ559" s="307"/>
      <c r="AR559" s="307"/>
      <c r="AX559" s="307"/>
      <c r="AY559" s="307"/>
      <c r="AZ559" s="307"/>
      <c r="BA559" s="307"/>
      <c r="BB559" s="307"/>
      <c r="BC559" s="307"/>
      <c r="BD559" s="307"/>
      <c r="BE559" s="307"/>
      <c r="BJ559" s="307"/>
      <c r="BK559" s="307"/>
      <c r="BL559" s="307"/>
      <c r="BM559" s="307"/>
      <c r="BN559" s="307"/>
      <c r="BO559" s="307"/>
      <c r="BP559" s="307"/>
      <c r="BQ559" s="307"/>
    </row>
    <row r="560" spans="4:69" s="306" customFormat="1" ht="11.75" customHeight="1" x14ac:dyDescent="0.15">
      <c r="G560" s="307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  <c r="R560" s="310"/>
      <c r="S560" s="310"/>
      <c r="T560" s="310"/>
      <c r="U560" s="310"/>
      <c r="V560" s="310"/>
      <c r="W560" s="310"/>
      <c r="X560" s="310"/>
      <c r="Y560" s="310"/>
      <c r="Z560" s="310"/>
      <c r="AA560" s="310"/>
      <c r="AB560" s="310"/>
      <c r="AC560" s="310"/>
      <c r="AD560" s="310"/>
      <c r="AE560" s="310"/>
      <c r="AJ560" s="307"/>
      <c r="AK560" s="307"/>
      <c r="AL560" s="307"/>
      <c r="AM560" s="307"/>
      <c r="AN560" s="307"/>
      <c r="AO560" s="307"/>
      <c r="AP560" s="307"/>
      <c r="AQ560" s="307"/>
      <c r="AR560" s="307"/>
      <c r="AX560" s="307"/>
      <c r="AY560" s="307"/>
      <c r="AZ560" s="307"/>
      <c r="BA560" s="307"/>
      <c r="BB560" s="307"/>
      <c r="BC560" s="307"/>
      <c r="BD560" s="307"/>
      <c r="BE560" s="307"/>
      <c r="BJ560" s="307"/>
      <c r="BK560" s="307"/>
      <c r="BL560" s="307"/>
      <c r="BM560" s="307"/>
      <c r="BN560" s="307"/>
      <c r="BO560" s="307"/>
      <c r="BP560" s="307"/>
      <c r="BQ560" s="307"/>
    </row>
    <row r="561" spans="3:69" s="306" customFormat="1" ht="11.75" customHeight="1" x14ac:dyDescent="0.15">
      <c r="G561" s="307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  <c r="R561" s="310"/>
      <c r="S561" s="310"/>
      <c r="T561" s="310"/>
      <c r="U561" s="310"/>
      <c r="V561" s="310"/>
      <c r="W561" s="310"/>
      <c r="X561" s="310"/>
      <c r="Y561" s="310"/>
      <c r="Z561" s="310"/>
      <c r="AA561" s="310"/>
      <c r="AB561" s="310"/>
      <c r="AC561" s="310"/>
      <c r="AD561" s="310"/>
      <c r="AE561" s="310"/>
      <c r="AJ561" s="307"/>
      <c r="AK561" s="307"/>
      <c r="AL561" s="307"/>
      <c r="AM561" s="307"/>
      <c r="AN561" s="307"/>
      <c r="AO561" s="307"/>
      <c r="AP561" s="307"/>
      <c r="AQ561" s="307"/>
      <c r="AR561" s="307"/>
      <c r="AX561" s="307"/>
      <c r="AY561" s="307"/>
      <c r="AZ561" s="307"/>
      <c r="BA561" s="307"/>
      <c r="BB561" s="307"/>
      <c r="BC561" s="307"/>
      <c r="BD561" s="307"/>
      <c r="BE561" s="301"/>
      <c r="BJ561" s="307"/>
      <c r="BK561" s="307"/>
      <c r="BL561" s="307"/>
      <c r="BM561" s="307"/>
      <c r="BN561" s="307"/>
      <c r="BO561" s="307"/>
      <c r="BP561" s="307"/>
      <c r="BQ561" s="301"/>
    </row>
    <row r="562" spans="3:69" s="306" customFormat="1" ht="11.75" customHeight="1" x14ac:dyDescent="0.15">
      <c r="G562" s="307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  <c r="R562" s="310"/>
      <c r="S562" s="310"/>
      <c r="T562" s="310"/>
      <c r="U562" s="310"/>
      <c r="V562" s="310"/>
      <c r="W562" s="310"/>
      <c r="X562" s="310"/>
      <c r="Y562" s="310"/>
      <c r="Z562" s="310"/>
      <c r="AA562" s="310"/>
      <c r="AB562" s="310"/>
      <c r="AC562" s="310"/>
      <c r="AD562" s="310"/>
      <c r="AE562" s="310"/>
      <c r="AJ562" s="307"/>
      <c r="AK562" s="307"/>
      <c r="AL562" s="307"/>
      <c r="AM562" s="307"/>
      <c r="AN562" s="307"/>
      <c r="AO562" s="307"/>
      <c r="AP562" s="307"/>
      <c r="AQ562" s="307"/>
      <c r="AR562" s="307"/>
      <c r="AU562" s="327"/>
      <c r="AX562" s="307"/>
      <c r="AY562" s="307"/>
      <c r="AZ562" s="307"/>
      <c r="BA562" s="307"/>
      <c r="BB562" s="307"/>
      <c r="BC562" s="307"/>
      <c r="BD562" s="307"/>
      <c r="BE562" s="301"/>
      <c r="BG562" s="327"/>
      <c r="BJ562" s="307"/>
      <c r="BK562" s="307"/>
      <c r="BL562" s="307"/>
      <c r="BM562" s="307"/>
      <c r="BN562" s="307"/>
      <c r="BO562" s="307"/>
      <c r="BP562" s="307"/>
      <c r="BQ562" s="301"/>
    </row>
    <row r="563" spans="3:69" s="306" customFormat="1" ht="11.75" customHeight="1" x14ac:dyDescent="0.15">
      <c r="G563" s="307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  <c r="R563" s="310"/>
      <c r="S563" s="310"/>
      <c r="T563" s="310"/>
      <c r="U563" s="310"/>
      <c r="V563" s="310"/>
      <c r="W563" s="310"/>
      <c r="X563" s="310"/>
      <c r="Y563" s="310"/>
      <c r="Z563" s="310"/>
      <c r="AA563" s="310"/>
      <c r="AB563" s="310"/>
      <c r="AC563" s="310"/>
      <c r="AD563" s="310"/>
      <c r="AE563" s="310"/>
      <c r="AH563" s="327"/>
      <c r="AJ563" s="307"/>
      <c r="AK563" s="307"/>
      <c r="AL563" s="307"/>
      <c r="AM563" s="307"/>
      <c r="AN563" s="307"/>
      <c r="AO563" s="307"/>
      <c r="AP563" s="307"/>
      <c r="AQ563" s="307"/>
      <c r="AR563" s="307"/>
      <c r="AX563" s="307"/>
      <c r="AY563" s="307"/>
      <c r="AZ563" s="307"/>
      <c r="BA563" s="307"/>
      <c r="BB563" s="307"/>
      <c r="BC563" s="307"/>
      <c r="BD563" s="307"/>
      <c r="BE563" s="307"/>
      <c r="BJ563" s="307"/>
      <c r="BK563" s="307"/>
      <c r="BL563" s="307"/>
      <c r="BM563" s="307"/>
      <c r="BN563" s="307"/>
      <c r="BO563" s="307"/>
      <c r="BP563" s="307"/>
      <c r="BQ563" s="307"/>
    </row>
    <row r="564" spans="3:69" s="306" customFormat="1" ht="11.75" customHeight="1" x14ac:dyDescent="0.15">
      <c r="G564" s="307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  <c r="R564" s="310"/>
      <c r="S564" s="310"/>
      <c r="T564" s="310"/>
      <c r="U564" s="310"/>
      <c r="V564" s="310"/>
      <c r="W564" s="310"/>
      <c r="X564" s="310"/>
      <c r="Y564" s="310"/>
      <c r="Z564" s="310"/>
      <c r="AA564" s="310"/>
      <c r="AB564" s="310"/>
      <c r="AC564" s="310"/>
      <c r="AD564" s="310"/>
      <c r="AE564" s="310"/>
      <c r="AJ564" s="307"/>
      <c r="AK564" s="307"/>
      <c r="AL564" s="307"/>
      <c r="AM564" s="307"/>
      <c r="AN564" s="307"/>
      <c r="AO564" s="307"/>
      <c r="AP564" s="307"/>
      <c r="AQ564" s="307"/>
      <c r="AR564" s="307"/>
      <c r="AX564" s="307"/>
      <c r="AY564" s="307"/>
      <c r="AZ564" s="307"/>
      <c r="BA564" s="307"/>
      <c r="BB564" s="307"/>
      <c r="BC564" s="307"/>
      <c r="BD564" s="307"/>
      <c r="BE564" s="307"/>
      <c r="BJ564" s="307"/>
      <c r="BK564" s="307"/>
      <c r="BL564" s="307"/>
      <c r="BM564" s="307"/>
      <c r="BN564" s="307"/>
      <c r="BO564" s="307"/>
      <c r="BP564" s="307"/>
      <c r="BQ564" s="307"/>
    </row>
    <row r="565" spans="3:69" s="306" customFormat="1" ht="11.75" customHeight="1" x14ac:dyDescent="0.15">
      <c r="G565" s="307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  <c r="R565" s="310"/>
      <c r="S565" s="310"/>
      <c r="T565" s="310"/>
      <c r="U565" s="310"/>
      <c r="V565" s="310"/>
      <c r="W565" s="310"/>
      <c r="X565" s="310"/>
      <c r="Y565" s="310"/>
      <c r="Z565" s="310"/>
      <c r="AA565" s="310"/>
      <c r="AB565" s="310"/>
      <c r="AC565" s="310"/>
      <c r="AD565" s="310"/>
      <c r="AE565" s="310"/>
      <c r="AJ565" s="307"/>
      <c r="AK565" s="307"/>
      <c r="AL565" s="307"/>
      <c r="AM565" s="307"/>
      <c r="AN565" s="307"/>
      <c r="AO565" s="307"/>
      <c r="AP565" s="307"/>
      <c r="AQ565" s="307"/>
      <c r="AR565" s="307"/>
      <c r="AX565" s="307"/>
      <c r="AY565" s="307"/>
      <c r="AZ565" s="307"/>
      <c r="BA565" s="307"/>
      <c r="BB565" s="307"/>
      <c r="BC565" s="307"/>
      <c r="BD565" s="307"/>
      <c r="BE565" s="307"/>
      <c r="BJ565" s="307"/>
      <c r="BK565" s="307"/>
      <c r="BL565" s="307"/>
      <c r="BM565" s="307"/>
      <c r="BN565" s="307"/>
      <c r="BO565" s="307"/>
      <c r="BP565" s="307"/>
      <c r="BQ565" s="307"/>
    </row>
    <row r="566" spans="3:69" s="306" customFormat="1" ht="11.75" customHeight="1" x14ac:dyDescent="0.15">
      <c r="G566" s="307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  <c r="R566" s="310"/>
      <c r="S566" s="310"/>
      <c r="T566" s="310"/>
      <c r="U566" s="310"/>
      <c r="V566" s="310"/>
      <c r="W566" s="310"/>
      <c r="X566" s="310"/>
      <c r="Y566" s="310"/>
      <c r="Z566" s="310"/>
      <c r="AA566" s="310"/>
      <c r="AB566" s="310"/>
      <c r="AC566" s="310"/>
      <c r="AD566" s="310"/>
      <c r="AE566" s="310"/>
      <c r="AJ566" s="307"/>
      <c r="AK566" s="307"/>
      <c r="AL566" s="307"/>
      <c r="AM566" s="307"/>
      <c r="AN566" s="307"/>
      <c r="AO566" s="307"/>
      <c r="AP566" s="307"/>
      <c r="AQ566" s="307"/>
      <c r="AR566" s="307"/>
      <c r="AX566" s="307"/>
      <c r="AY566" s="307"/>
      <c r="AZ566" s="307"/>
      <c r="BA566" s="307"/>
      <c r="BB566" s="307"/>
      <c r="BC566" s="307"/>
      <c r="BD566" s="307"/>
      <c r="BE566" s="307"/>
      <c r="BJ566" s="307"/>
      <c r="BK566" s="307"/>
      <c r="BL566" s="307"/>
      <c r="BM566" s="307"/>
      <c r="BN566" s="307"/>
      <c r="BO566" s="307"/>
      <c r="BP566" s="307"/>
      <c r="BQ566" s="307"/>
    </row>
    <row r="567" spans="3:69" s="306" customFormat="1" ht="11.75" customHeight="1" x14ac:dyDescent="0.15">
      <c r="G567" s="307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  <c r="R567" s="310"/>
      <c r="S567" s="310"/>
      <c r="T567" s="310"/>
      <c r="U567" s="310"/>
      <c r="V567" s="310"/>
      <c r="W567" s="310"/>
      <c r="X567" s="310"/>
      <c r="Y567" s="310"/>
      <c r="Z567" s="310"/>
      <c r="AA567" s="310"/>
      <c r="AB567" s="310"/>
      <c r="AC567" s="310"/>
      <c r="AD567" s="310"/>
      <c r="AE567" s="310"/>
      <c r="AJ567" s="307"/>
      <c r="AK567" s="307"/>
      <c r="AL567" s="307"/>
      <c r="AM567" s="307"/>
      <c r="AN567" s="307"/>
      <c r="AO567" s="307"/>
      <c r="AP567" s="307"/>
      <c r="AQ567" s="307"/>
      <c r="AR567" s="307"/>
      <c r="AX567" s="307"/>
      <c r="AY567" s="307"/>
      <c r="AZ567" s="307"/>
      <c r="BA567" s="307"/>
      <c r="BB567" s="307"/>
      <c r="BC567" s="307"/>
      <c r="BD567" s="307"/>
      <c r="BE567" s="301"/>
      <c r="BJ567" s="307"/>
      <c r="BK567" s="307"/>
      <c r="BL567" s="307"/>
      <c r="BM567" s="307"/>
      <c r="BN567" s="307"/>
      <c r="BO567" s="307"/>
      <c r="BP567" s="307"/>
      <c r="BQ567" s="301"/>
    </row>
    <row r="568" spans="3:69" s="306" customFormat="1" ht="11.75" customHeight="1" x14ac:dyDescent="0.15">
      <c r="G568" s="307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  <c r="R568" s="310"/>
      <c r="S568" s="310"/>
      <c r="T568" s="310"/>
      <c r="U568" s="310"/>
      <c r="V568" s="310"/>
      <c r="W568" s="310"/>
      <c r="X568" s="310"/>
      <c r="Y568" s="310"/>
      <c r="Z568" s="310"/>
      <c r="AA568" s="310"/>
      <c r="AB568" s="310"/>
      <c r="AC568" s="310"/>
      <c r="AD568" s="310"/>
      <c r="AE568" s="310"/>
      <c r="AJ568" s="307"/>
      <c r="AK568" s="307"/>
      <c r="AL568" s="307"/>
      <c r="AM568" s="307"/>
      <c r="AN568" s="307"/>
      <c r="AO568" s="307"/>
      <c r="AP568" s="307"/>
      <c r="AQ568" s="307"/>
      <c r="AR568" s="307"/>
      <c r="AU568" s="327"/>
      <c r="AX568" s="307"/>
      <c r="AY568" s="307"/>
      <c r="AZ568" s="307"/>
      <c r="BA568" s="307"/>
      <c r="BB568" s="307"/>
      <c r="BC568" s="307"/>
      <c r="BD568" s="307"/>
      <c r="BE568" s="301"/>
      <c r="BG568" s="327"/>
      <c r="BJ568" s="307"/>
      <c r="BK568" s="307"/>
      <c r="BL568" s="307"/>
      <c r="BM568" s="307"/>
      <c r="BN568" s="307"/>
      <c r="BO568" s="307"/>
      <c r="BP568" s="307"/>
      <c r="BQ568" s="301"/>
    </row>
    <row r="569" spans="3:69" s="306" customFormat="1" ht="11.75" customHeight="1" x14ac:dyDescent="0.15"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  <c r="Z569" s="307"/>
      <c r="AA569" s="307"/>
      <c r="AB569" s="307"/>
      <c r="AC569" s="307"/>
      <c r="AD569" s="307"/>
      <c r="AE569" s="307"/>
      <c r="AH569" s="327"/>
      <c r="AJ569" s="307"/>
      <c r="AK569" s="307"/>
      <c r="AL569" s="307"/>
      <c r="AM569" s="307"/>
      <c r="AN569" s="307"/>
      <c r="AO569" s="307"/>
      <c r="AP569" s="307"/>
      <c r="AQ569" s="307"/>
      <c r="AR569" s="307"/>
      <c r="AX569" s="307"/>
      <c r="AY569" s="307"/>
      <c r="AZ569" s="307"/>
      <c r="BA569" s="307"/>
      <c r="BB569" s="307"/>
      <c r="BC569" s="307"/>
      <c r="BD569" s="307"/>
      <c r="BE569" s="307"/>
      <c r="BJ569" s="307"/>
      <c r="BK569" s="307"/>
      <c r="BL569" s="307"/>
      <c r="BM569" s="307"/>
      <c r="BN569" s="307"/>
      <c r="BO569" s="307"/>
      <c r="BP569" s="307"/>
      <c r="BQ569" s="307"/>
    </row>
    <row r="570" spans="3:69" s="306" customFormat="1" ht="11.75" customHeight="1" x14ac:dyDescent="0.15"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  <c r="Z570" s="307"/>
      <c r="AA570" s="307"/>
      <c r="AB570" s="307"/>
      <c r="AC570" s="307"/>
      <c r="AD570" s="307"/>
      <c r="AE570" s="307"/>
      <c r="AJ570" s="307"/>
      <c r="AK570" s="307"/>
      <c r="AL570" s="307"/>
      <c r="AM570" s="307"/>
      <c r="AN570" s="307"/>
      <c r="AO570" s="307"/>
      <c r="AP570" s="307"/>
      <c r="AQ570" s="307"/>
      <c r="AR570" s="307"/>
      <c r="AX570" s="307"/>
      <c r="AY570" s="307"/>
      <c r="AZ570" s="307"/>
      <c r="BA570" s="307"/>
      <c r="BB570" s="307"/>
      <c r="BC570" s="307"/>
      <c r="BD570" s="307"/>
      <c r="BE570" s="307"/>
      <c r="BJ570" s="307"/>
      <c r="BK570" s="307"/>
      <c r="BL570" s="307"/>
      <c r="BM570" s="307"/>
      <c r="BN570" s="307"/>
      <c r="BO570" s="307"/>
      <c r="BP570" s="307"/>
      <c r="BQ570" s="307"/>
    </row>
    <row r="571" spans="3:69" s="306" customFormat="1" ht="11.75" customHeight="1" x14ac:dyDescent="0.15">
      <c r="C571" s="31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  <c r="Z571" s="307"/>
      <c r="AA571" s="307"/>
      <c r="AB571" s="307"/>
      <c r="AC571" s="307"/>
      <c r="AD571" s="307"/>
      <c r="AE571" s="307"/>
      <c r="AJ571" s="307"/>
      <c r="AK571" s="307"/>
      <c r="AL571" s="307"/>
      <c r="AM571" s="307"/>
      <c r="AN571" s="307"/>
      <c r="AO571" s="307"/>
      <c r="AP571" s="307"/>
      <c r="AQ571" s="307"/>
      <c r="AR571" s="307"/>
      <c r="AX571" s="307"/>
      <c r="AY571" s="307"/>
      <c r="AZ571" s="307"/>
      <c r="BA571" s="307"/>
      <c r="BB571" s="307"/>
      <c r="BC571" s="307"/>
      <c r="BD571" s="307"/>
      <c r="BE571" s="307"/>
      <c r="BJ571" s="307"/>
      <c r="BK571" s="307"/>
      <c r="BL571" s="307"/>
      <c r="BM571" s="307"/>
      <c r="BN571" s="307"/>
      <c r="BO571" s="307"/>
      <c r="BP571" s="307"/>
      <c r="BQ571" s="307"/>
    </row>
    <row r="572" spans="3:69" s="306" customFormat="1" ht="11.75" customHeight="1" x14ac:dyDescent="0.15"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  <c r="Z572" s="307"/>
      <c r="AA572" s="307"/>
      <c r="AB572" s="307"/>
      <c r="AC572" s="307"/>
      <c r="AD572" s="307"/>
      <c r="AE572" s="307"/>
      <c r="AJ572" s="307"/>
      <c r="AK572" s="307"/>
      <c r="AL572" s="307"/>
      <c r="AM572" s="307"/>
      <c r="AN572" s="307"/>
      <c r="AO572" s="307"/>
      <c r="AP572" s="307"/>
      <c r="AQ572" s="307"/>
      <c r="AR572" s="307"/>
      <c r="AX572" s="307"/>
      <c r="AY572" s="307"/>
      <c r="AZ572" s="307"/>
      <c r="BA572" s="307"/>
      <c r="BB572" s="307"/>
      <c r="BC572" s="307"/>
      <c r="BD572" s="307"/>
      <c r="BE572" s="307"/>
      <c r="BJ572" s="307"/>
      <c r="BK572" s="307"/>
      <c r="BL572" s="307"/>
      <c r="BM572" s="307"/>
      <c r="BN572" s="307"/>
      <c r="BO572" s="307"/>
      <c r="BP572" s="307"/>
      <c r="BQ572" s="307"/>
    </row>
    <row r="573" spans="3:69" s="306" customFormat="1" ht="11.75" customHeight="1" x14ac:dyDescent="0.15"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  <c r="R573" s="310"/>
      <c r="S573" s="310"/>
      <c r="T573" s="310"/>
      <c r="U573" s="310"/>
      <c r="V573" s="310"/>
      <c r="W573" s="310"/>
      <c r="X573" s="310"/>
      <c r="Y573" s="310"/>
      <c r="Z573" s="310"/>
      <c r="AA573" s="310"/>
      <c r="AB573" s="310"/>
      <c r="AC573" s="310"/>
      <c r="AD573" s="310"/>
      <c r="AE573" s="310"/>
      <c r="AJ573" s="307"/>
      <c r="AK573" s="307"/>
      <c r="AL573" s="307"/>
      <c r="AM573" s="307"/>
      <c r="AN573" s="307"/>
      <c r="AO573" s="307"/>
      <c r="AP573" s="307"/>
      <c r="AQ573" s="307"/>
      <c r="AR573" s="307"/>
      <c r="AX573" s="307"/>
      <c r="AY573" s="307"/>
      <c r="AZ573" s="307"/>
      <c r="BA573" s="307"/>
      <c r="BB573" s="307"/>
      <c r="BC573" s="307"/>
      <c r="BD573" s="307"/>
      <c r="BE573" s="301"/>
      <c r="BJ573" s="307"/>
      <c r="BK573" s="307"/>
      <c r="BL573" s="307"/>
      <c r="BM573" s="307"/>
      <c r="BN573" s="307"/>
      <c r="BO573" s="307"/>
      <c r="BP573" s="307"/>
      <c r="BQ573" s="301"/>
    </row>
    <row r="574" spans="3:69" s="306" customFormat="1" ht="11.75" customHeight="1" x14ac:dyDescent="0.15"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  <c r="R574" s="310"/>
      <c r="S574" s="310"/>
      <c r="T574" s="310"/>
      <c r="U574" s="310"/>
      <c r="V574" s="310"/>
      <c r="W574" s="310"/>
      <c r="X574" s="310"/>
      <c r="Y574" s="310"/>
      <c r="Z574" s="310"/>
      <c r="AA574" s="310"/>
      <c r="AB574" s="310"/>
      <c r="AC574" s="310"/>
      <c r="AD574" s="310"/>
      <c r="AE574" s="310"/>
      <c r="AJ574" s="307"/>
      <c r="AK574" s="307"/>
      <c r="AL574" s="307"/>
      <c r="AM574" s="307"/>
      <c r="AN574" s="307"/>
      <c r="AO574" s="307"/>
      <c r="AP574" s="307"/>
      <c r="AQ574" s="307"/>
      <c r="AR574" s="307"/>
      <c r="AU574" s="327"/>
      <c r="AX574" s="307"/>
      <c r="AY574" s="307"/>
      <c r="AZ574" s="307"/>
      <c r="BA574" s="307"/>
      <c r="BB574" s="307"/>
      <c r="BC574" s="307"/>
      <c r="BD574" s="307"/>
      <c r="BE574" s="301"/>
      <c r="BG574" s="327"/>
      <c r="BJ574" s="307"/>
      <c r="BK574" s="307"/>
      <c r="BL574" s="307"/>
      <c r="BM574" s="307"/>
      <c r="BN574" s="307"/>
      <c r="BO574" s="307"/>
      <c r="BP574" s="307"/>
      <c r="BQ574" s="301"/>
    </row>
    <row r="575" spans="3:69" s="306" customFormat="1" ht="11.75" customHeight="1" x14ac:dyDescent="0.15"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  <c r="R575" s="310"/>
      <c r="S575" s="310"/>
      <c r="T575" s="310"/>
      <c r="U575" s="310"/>
      <c r="V575" s="310"/>
      <c r="W575" s="310"/>
      <c r="X575" s="310"/>
      <c r="Y575" s="310"/>
      <c r="Z575" s="310"/>
      <c r="AA575" s="310"/>
      <c r="AB575" s="310"/>
      <c r="AC575" s="310"/>
      <c r="AD575" s="310"/>
      <c r="AE575" s="310"/>
      <c r="AH575" s="327"/>
      <c r="AJ575" s="307"/>
      <c r="AK575" s="307"/>
      <c r="AL575" s="307"/>
      <c r="AM575" s="307"/>
      <c r="AN575" s="307"/>
      <c r="AO575" s="307"/>
      <c r="AP575" s="307"/>
      <c r="AQ575" s="307"/>
      <c r="AR575" s="307"/>
      <c r="AX575" s="307"/>
      <c r="AY575" s="307"/>
      <c r="AZ575" s="307"/>
      <c r="BA575" s="307"/>
      <c r="BB575" s="307"/>
      <c r="BC575" s="307"/>
      <c r="BD575" s="307"/>
      <c r="BE575" s="307"/>
      <c r="BJ575" s="307"/>
      <c r="BK575" s="307"/>
      <c r="BL575" s="307"/>
      <c r="BM575" s="307"/>
      <c r="BN575" s="307"/>
      <c r="BO575" s="307"/>
      <c r="BP575" s="307"/>
      <c r="BQ575" s="307"/>
    </row>
    <row r="576" spans="3:69" s="306" customFormat="1" ht="11.75" customHeight="1" x14ac:dyDescent="0.15">
      <c r="G576" s="307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  <c r="R576" s="310"/>
      <c r="S576" s="310"/>
      <c r="T576" s="310"/>
      <c r="U576" s="310"/>
      <c r="V576" s="310"/>
      <c r="W576" s="310"/>
      <c r="X576" s="310"/>
      <c r="Y576" s="310"/>
      <c r="Z576" s="310"/>
      <c r="AA576" s="310"/>
      <c r="AB576" s="310"/>
      <c r="AC576" s="310"/>
      <c r="AD576" s="310"/>
      <c r="AE576" s="310"/>
      <c r="AJ576" s="307"/>
      <c r="AK576" s="307"/>
      <c r="AL576" s="307"/>
      <c r="AM576" s="307"/>
      <c r="AN576" s="307"/>
      <c r="AO576" s="307"/>
      <c r="AP576" s="307"/>
      <c r="AQ576" s="307"/>
      <c r="AR576" s="307"/>
      <c r="AX576" s="307"/>
      <c r="AY576" s="307"/>
      <c r="AZ576" s="307"/>
      <c r="BA576" s="307"/>
      <c r="BB576" s="307"/>
      <c r="BC576" s="307"/>
      <c r="BD576" s="307"/>
      <c r="BE576" s="307"/>
      <c r="BJ576" s="307"/>
      <c r="BK576" s="307"/>
      <c r="BL576" s="307"/>
      <c r="BM576" s="307"/>
      <c r="BN576" s="307"/>
      <c r="BO576" s="307"/>
      <c r="BP576" s="307"/>
      <c r="BQ576" s="307"/>
    </row>
    <row r="577" spans="3:69" s="306" customFormat="1" ht="11.75" customHeight="1" x14ac:dyDescent="0.15">
      <c r="G577" s="307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  <c r="R577" s="310"/>
      <c r="S577" s="310"/>
      <c r="T577" s="310"/>
      <c r="U577" s="310"/>
      <c r="V577" s="310"/>
      <c r="W577" s="310"/>
      <c r="X577" s="310"/>
      <c r="Y577" s="310"/>
      <c r="Z577" s="310"/>
      <c r="AA577" s="310"/>
      <c r="AB577" s="310"/>
      <c r="AC577" s="310"/>
      <c r="AD577" s="310"/>
      <c r="AE577" s="310"/>
      <c r="AJ577" s="307"/>
      <c r="AK577" s="307"/>
      <c r="AL577" s="307"/>
      <c r="AM577" s="307"/>
      <c r="AN577" s="307"/>
      <c r="AO577" s="307"/>
      <c r="AP577" s="307"/>
      <c r="AQ577" s="307"/>
      <c r="AR577" s="307"/>
      <c r="AX577" s="307"/>
      <c r="AY577" s="307"/>
      <c r="AZ577" s="307"/>
      <c r="BA577" s="307"/>
      <c r="BB577" s="307"/>
      <c r="BC577" s="307"/>
      <c r="BD577" s="307"/>
      <c r="BE577" s="307"/>
      <c r="BJ577" s="307"/>
      <c r="BK577" s="307"/>
      <c r="BL577" s="307"/>
      <c r="BM577" s="307"/>
      <c r="BN577" s="307"/>
      <c r="BO577" s="307"/>
      <c r="BP577" s="307"/>
      <c r="BQ577" s="307"/>
    </row>
    <row r="578" spans="3:69" s="306" customFormat="1" ht="11.75" customHeight="1" x14ac:dyDescent="0.15">
      <c r="C578" s="31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  <c r="Z578" s="307"/>
      <c r="AA578" s="307"/>
      <c r="AB578" s="307"/>
      <c r="AC578" s="307"/>
      <c r="AD578" s="307"/>
      <c r="AE578" s="307"/>
      <c r="AJ578" s="307"/>
      <c r="AK578" s="307"/>
      <c r="AL578" s="307"/>
      <c r="AM578" s="307"/>
      <c r="AN578" s="307"/>
      <c r="AO578" s="307"/>
      <c r="AP578" s="307"/>
      <c r="AQ578" s="307"/>
      <c r="AR578" s="307"/>
      <c r="AX578" s="307"/>
      <c r="AY578" s="307"/>
      <c r="AZ578" s="307"/>
      <c r="BA578" s="307"/>
      <c r="BB578" s="307"/>
      <c r="BC578" s="307"/>
      <c r="BD578" s="307"/>
      <c r="BE578" s="307"/>
      <c r="BJ578" s="307"/>
      <c r="BK578" s="307"/>
      <c r="BL578" s="307"/>
      <c r="BM578" s="307"/>
      <c r="BN578" s="307"/>
      <c r="BO578" s="307"/>
      <c r="BP578" s="307"/>
      <c r="BQ578" s="307"/>
    </row>
    <row r="579" spans="3:69" s="306" customFormat="1" ht="11.75" customHeight="1" x14ac:dyDescent="0.15"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  <c r="Z579" s="307"/>
      <c r="AA579" s="307"/>
      <c r="AB579" s="307"/>
      <c r="AC579" s="307"/>
      <c r="AD579" s="307"/>
      <c r="AE579" s="307"/>
      <c r="AJ579" s="307"/>
      <c r="AK579" s="307"/>
      <c r="AL579" s="307"/>
      <c r="AM579" s="307"/>
      <c r="AN579" s="307"/>
      <c r="AO579" s="307"/>
      <c r="AP579" s="307"/>
      <c r="AQ579" s="307"/>
      <c r="AR579" s="307"/>
      <c r="AX579" s="307"/>
      <c r="AY579" s="307"/>
      <c r="AZ579" s="307"/>
      <c r="BA579" s="307"/>
      <c r="BB579" s="307"/>
      <c r="BC579" s="307"/>
      <c r="BD579" s="307"/>
      <c r="BE579" s="301"/>
      <c r="BJ579" s="307"/>
      <c r="BK579" s="307"/>
      <c r="BL579" s="307"/>
      <c r="BM579" s="307"/>
      <c r="BN579" s="307"/>
      <c r="BO579" s="307"/>
      <c r="BP579" s="307"/>
      <c r="BQ579" s="301"/>
    </row>
    <row r="580" spans="3:69" s="306" customFormat="1" ht="11.75" customHeight="1" x14ac:dyDescent="0.15"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  <c r="R580" s="310"/>
      <c r="S580" s="310"/>
      <c r="T580" s="310"/>
      <c r="U580" s="310"/>
      <c r="V580" s="310"/>
      <c r="W580" s="310"/>
      <c r="X580" s="310"/>
      <c r="Y580" s="310"/>
      <c r="Z580" s="310"/>
      <c r="AA580" s="310"/>
      <c r="AB580" s="310"/>
      <c r="AC580" s="310"/>
      <c r="AD580" s="310"/>
      <c r="AE580" s="310"/>
      <c r="AJ580" s="307"/>
      <c r="AK580" s="307"/>
      <c r="AL580" s="307"/>
      <c r="AM580" s="307"/>
      <c r="AN580" s="307"/>
      <c r="AO580" s="307"/>
      <c r="AP580" s="307"/>
      <c r="AQ580" s="307"/>
      <c r="AR580" s="307"/>
      <c r="AU580" s="327"/>
      <c r="AX580" s="307"/>
      <c r="AY580" s="307"/>
      <c r="AZ580" s="307"/>
      <c r="BA580" s="307"/>
      <c r="BB580" s="307"/>
      <c r="BC580" s="307"/>
      <c r="BD580" s="307"/>
      <c r="BE580" s="301"/>
      <c r="BG580" s="327"/>
      <c r="BJ580" s="307"/>
      <c r="BK580" s="307"/>
      <c r="BL580" s="307"/>
      <c r="BM580" s="307"/>
      <c r="BN580" s="307"/>
      <c r="BO580" s="307"/>
      <c r="BP580" s="307"/>
      <c r="BQ580" s="301"/>
    </row>
    <row r="581" spans="3:69" s="306" customFormat="1" ht="11.75" customHeight="1" x14ac:dyDescent="0.15"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  <c r="R581" s="310"/>
      <c r="S581" s="310"/>
      <c r="T581" s="310"/>
      <c r="U581" s="310"/>
      <c r="V581" s="310"/>
      <c r="W581" s="310"/>
      <c r="X581" s="310"/>
      <c r="Y581" s="310"/>
      <c r="Z581" s="310"/>
      <c r="AA581" s="310"/>
      <c r="AB581" s="310"/>
      <c r="AC581" s="310"/>
      <c r="AD581" s="310"/>
      <c r="AE581" s="310"/>
      <c r="AH581" s="327"/>
      <c r="AJ581" s="307"/>
      <c r="AK581" s="307"/>
      <c r="AL581" s="307"/>
      <c r="AM581" s="307"/>
      <c r="AN581" s="307"/>
      <c r="AO581" s="307"/>
      <c r="AP581" s="307"/>
      <c r="AQ581" s="307"/>
      <c r="AR581" s="307"/>
      <c r="AX581" s="307"/>
      <c r="AY581" s="307"/>
      <c r="AZ581" s="307"/>
      <c r="BA581" s="307"/>
      <c r="BB581" s="307"/>
      <c r="BC581" s="307"/>
      <c r="BD581" s="307"/>
      <c r="BE581" s="307"/>
      <c r="BJ581" s="307"/>
      <c r="BK581" s="307"/>
      <c r="BL581" s="307"/>
      <c r="BM581" s="307"/>
      <c r="BN581" s="307"/>
      <c r="BO581" s="307"/>
      <c r="BP581" s="307"/>
      <c r="BQ581" s="307"/>
    </row>
    <row r="582" spans="3:69" s="306" customFormat="1" ht="11.75" customHeight="1" x14ac:dyDescent="0.15"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  <c r="R582" s="310"/>
      <c r="S582" s="310"/>
      <c r="T582" s="310"/>
      <c r="U582" s="310"/>
      <c r="V582" s="310"/>
      <c r="W582" s="310"/>
      <c r="X582" s="310"/>
      <c r="Y582" s="310"/>
      <c r="Z582" s="310"/>
      <c r="AA582" s="310"/>
      <c r="AB582" s="310"/>
      <c r="AC582" s="310"/>
      <c r="AD582" s="310"/>
      <c r="AE582" s="310"/>
      <c r="AJ582" s="307"/>
      <c r="AK582" s="307"/>
      <c r="AL582" s="307"/>
      <c r="AM582" s="307"/>
      <c r="AN582" s="307"/>
      <c r="AO582" s="307"/>
      <c r="AP582" s="307"/>
      <c r="AQ582" s="307"/>
      <c r="AR582" s="307"/>
      <c r="AX582" s="307"/>
      <c r="AY582" s="307"/>
      <c r="AZ582" s="307"/>
      <c r="BA582" s="307"/>
      <c r="BB582" s="307"/>
      <c r="BC582" s="307"/>
      <c r="BD582" s="307"/>
      <c r="BE582" s="307"/>
      <c r="BJ582" s="307"/>
      <c r="BK582" s="307"/>
      <c r="BL582" s="307"/>
      <c r="BM582" s="307"/>
      <c r="BN582" s="307"/>
      <c r="BO582" s="307"/>
      <c r="BP582" s="307"/>
      <c r="BQ582" s="307"/>
    </row>
    <row r="583" spans="3:69" s="306" customFormat="1" ht="11.75" customHeight="1" x14ac:dyDescent="0.15"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  <c r="Z583" s="307"/>
      <c r="AA583" s="307"/>
      <c r="AB583" s="307"/>
      <c r="AC583" s="307"/>
      <c r="AD583" s="307"/>
      <c r="AE583" s="307"/>
      <c r="AJ583" s="307"/>
      <c r="AK583" s="307"/>
      <c r="AL583" s="307"/>
      <c r="AM583" s="307"/>
      <c r="AN583" s="307"/>
      <c r="AO583" s="307"/>
      <c r="AP583" s="307"/>
      <c r="AQ583" s="307"/>
      <c r="AR583" s="307"/>
      <c r="AX583" s="307"/>
      <c r="AY583" s="307"/>
      <c r="AZ583" s="307"/>
      <c r="BA583" s="307"/>
      <c r="BB583" s="307"/>
      <c r="BC583" s="307"/>
      <c r="BD583" s="307"/>
      <c r="BE583" s="307"/>
      <c r="BJ583" s="307"/>
      <c r="BK583" s="307"/>
      <c r="BL583" s="307"/>
      <c r="BM583" s="307"/>
      <c r="BN583" s="307"/>
      <c r="BO583" s="307"/>
      <c r="BP583" s="307"/>
      <c r="BQ583" s="307"/>
    </row>
    <row r="584" spans="3:69" s="306" customFormat="1" ht="11.75" customHeight="1" x14ac:dyDescent="0.15"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  <c r="Z584" s="307"/>
      <c r="AA584" s="307"/>
      <c r="AB584" s="307"/>
      <c r="AC584" s="307"/>
      <c r="AD584" s="307"/>
      <c r="AE584" s="307"/>
      <c r="AJ584" s="307"/>
      <c r="AK584" s="307"/>
      <c r="AL584" s="307"/>
      <c r="AM584" s="307"/>
      <c r="AN584" s="307"/>
      <c r="AO584" s="307"/>
      <c r="AP584" s="307"/>
      <c r="AQ584" s="307"/>
      <c r="AR584" s="307"/>
      <c r="AX584" s="307"/>
      <c r="AY584" s="307"/>
      <c r="AZ584" s="307"/>
      <c r="BA584" s="307"/>
      <c r="BB584" s="307"/>
      <c r="BC584" s="307"/>
      <c r="BD584" s="307"/>
      <c r="BE584" s="307"/>
      <c r="BJ584" s="307"/>
      <c r="BK584" s="307"/>
      <c r="BL584" s="307"/>
      <c r="BM584" s="307"/>
      <c r="BN584" s="307"/>
      <c r="BO584" s="307"/>
      <c r="BP584" s="307"/>
      <c r="BQ584" s="307"/>
    </row>
    <row r="585" spans="3:69" s="306" customFormat="1" ht="11.75" customHeight="1" x14ac:dyDescent="0.15"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  <c r="Z585" s="307"/>
      <c r="AA585" s="307"/>
      <c r="AB585" s="307"/>
      <c r="AC585" s="307"/>
      <c r="AD585" s="307"/>
      <c r="AE585" s="307"/>
      <c r="AJ585" s="307"/>
      <c r="AK585" s="307"/>
      <c r="AL585" s="307"/>
      <c r="AM585" s="307"/>
      <c r="AN585" s="307"/>
      <c r="AO585" s="307"/>
      <c r="AP585" s="307"/>
      <c r="AQ585" s="307"/>
      <c r="AR585" s="307"/>
      <c r="AX585" s="307"/>
      <c r="AY585" s="307"/>
      <c r="AZ585" s="307"/>
      <c r="BA585" s="307"/>
      <c r="BB585" s="307"/>
      <c r="BC585" s="307"/>
      <c r="BD585" s="307"/>
      <c r="BE585" s="301"/>
      <c r="BJ585" s="307"/>
      <c r="BK585" s="307"/>
      <c r="BL585" s="307"/>
      <c r="BM585" s="307"/>
      <c r="BN585" s="307"/>
      <c r="BO585" s="307"/>
      <c r="BP585" s="307"/>
      <c r="BQ585" s="301"/>
    </row>
    <row r="586" spans="3:69" s="302" customFormat="1" ht="11.75" customHeight="1" x14ac:dyDescent="0.15">
      <c r="C586" s="306"/>
      <c r="D586" s="306"/>
      <c r="E586" s="306"/>
      <c r="F586" s="306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  <c r="AA586" s="307"/>
      <c r="AB586" s="307"/>
      <c r="AC586" s="307"/>
      <c r="AD586" s="307"/>
      <c r="AE586" s="307"/>
      <c r="AH586" s="306"/>
      <c r="AI586" s="306"/>
      <c r="AJ586" s="307"/>
      <c r="AK586" s="307"/>
      <c r="AL586" s="307"/>
      <c r="AM586" s="307"/>
      <c r="AN586" s="307"/>
      <c r="AO586" s="307"/>
      <c r="AP586" s="307"/>
      <c r="AQ586" s="307"/>
      <c r="AR586" s="307"/>
      <c r="AU586" s="327"/>
      <c r="AV586" s="306"/>
      <c r="AW586" s="306"/>
      <c r="AX586" s="307"/>
      <c r="AY586" s="307"/>
      <c r="AZ586" s="307"/>
      <c r="BA586" s="307"/>
      <c r="BB586" s="307"/>
      <c r="BC586" s="307"/>
      <c r="BD586" s="307"/>
      <c r="BE586" s="301"/>
      <c r="BG586" s="327"/>
      <c r="BH586" s="306"/>
      <c r="BI586" s="306"/>
      <c r="BJ586" s="307"/>
      <c r="BK586" s="307"/>
      <c r="BL586" s="307"/>
      <c r="BM586" s="307"/>
      <c r="BN586" s="307"/>
      <c r="BO586" s="307"/>
      <c r="BP586" s="307"/>
      <c r="BQ586" s="301"/>
    </row>
    <row r="587" spans="3:69" s="302" customFormat="1" ht="11.75" customHeight="1" x14ac:dyDescent="0.15">
      <c r="G587" s="300"/>
      <c r="H587" s="301"/>
      <c r="I587" s="301"/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  <c r="Y587" s="301"/>
      <c r="Z587" s="301"/>
      <c r="AA587" s="301"/>
      <c r="AB587" s="301"/>
      <c r="AC587" s="301"/>
      <c r="AD587" s="301"/>
      <c r="AE587" s="301"/>
      <c r="AH587" s="306"/>
      <c r="AI587" s="306"/>
      <c r="AJ587" s="307"/>
      <c r="AK587" s="307"/>
      <c r="AL587" s="307"/>
      <c r="AM587" s="307"/>
      <c r="AN587" s="307"/>
      <c r="AO587" s="307"/>
      <c r="AP587" s="307"/>
      <c r="AQ587" s="307"/>
      <c r="AR587" s="307"/>
      <c r="AU587" s="306"/>
      <c r="AV587" s="306"/>
      <c r="AW587" s="306"/>
      <c r="AX587" s="307"/>
      <c r="AY587" s="307"/>
      <c r="AZ587" s="307"/>
      <c r="BA587" s="307"/>
      <c r="BB587" s="307"/>
      <c r="BC587" s="307"/>
      <c r="BD587" s="307"/>
      <c r="BE587" s="307"/>
      <c r="BG587" s="306"/>
      <c r="BH587" s="306"/>
      <c r="BI587" s="306"/>
      <c r="BJ587" s="307"/>
      <c r="BK587" s="307"/>
      <c r="BL587" s="307"/>
      <c r="BM587" s="307"/>
      <c r="BN587" s="307"/>
      <c r="BO587" s="307"/>
      <c r="BP587" s="307"/>
      <c r="BQ587" s="307"/>
    </row>
    <row r="588" spans="3:69" s="302" customFormat="1" ht="11.75" customHeight="1" x14ac:dyDescent="0.15">
      <c r="G588" s="300"/>
      <c r="H588" s="301"/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  <c r="Y588" s="301"/>
      <c r="Z588" s="301"/>
      <c r="AA588" s="301"/>
      <c r="AB588" s="301"/>
      <c r="AC588" s="301"/>
      <c r="AD588" s="301"/>
      <c r="AE588" s="301"/>
      <c r="AH588" s="306"/>
      <c r="AI588" s="306"/>
      <c r="AJ588" s="307"/>
      <c r="AK588" s="307"/>
      <c r="AL588" s="307"/>
      <c r="AM588" s="307"/>
      <c r="AN588" s="307"/>
      <c r="AO588" s="307"/>
      <c r="AP588" s="307"/>
      <c r="AQ588" s="307"/>
      <c r="AR588" s="307"/>
      <c r="AU588" s="306"/>
      <c r="AV588" s="306"/>
      <c r="AW588" s="306"/>
      <c r="AX588" s="307"/>
      <c r="AY588" s="307"/>
      <c r="AZ588" s="307"/>
      <c r="BA588" s="307"/>
      <c r="BB588" s="307"/>
      <c r="BC588" s="307"/>
      <c r="BD588" s="307"/>
      <c r="BE588" s="307"/>
      <c r="BG588" s="306"/>
      <c r="BH588" s="306"/>
      <c r="BI588" s="306"/>
      <c r="BJ588" s="307"/>
      <c r="BK588" s="307"/>
      <c r="BL588" s="307"/>
      <c r="BM588" s="307"/>
      <c r="BN588" s="307"/>
      <c r="BO588" s="307"/>
      <c r="BP588" s="307"/>
      <c r="BQ588" s="307"/>
    </row>
    <row r="589" spans="3:69" s="302" customFormat="1" ht="11.75" customHeight="1" x14ac:dyDescent="0.15">
      <c r="G589" s="300"/>
      <c r="H589" s="301"/>
      <c r="I589" s="301"/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  <c r="Y589" s="301"/>
      <c r="Z589" s="301"/>
      <c r="AA589" s="301"/>
      <c r="AB589" s="301"/>
      <c r="AC589" s="301"/>
      <c r="AD589" s="301"/>
      <c r="AE589" s="301"/>
      <c r="AH589" s="306"/>
      <c r="AI589" s="306"/>
      <c r="AJ589" s="307"/>
      <c r="AK589" s="307"/>
      <c r="AL589" s="307"/>
      <c r="AM589" s="307"/>
      <c r="AN589" s="307"/>
      <c r="AO589" s="307"/>
      <c r="AP589" s="307"/>
      <c r="AQ589" s="307"/>
      <c r="AR589" s="307"/>
      <c r="AU589" s="306"/>
      <c r="AV589" s="306"/>
      <c r="AW589" s="306"/>
      <c r="AX589" s="307"/>
      <c r="AY589" s="307"/>
      <c r="AZ589" s="307"/>
      <c r="BA589" s="307"/>
      <c r="BB589" s="307"/>
      <c r="BC589" s="307"/>
      <c r="BD589" s="307"/>
      <c r="BE589" s="307"/>
      <c r="BG589" s="306"/>
      <c r="BH589" s="306"/>
      <c r="BI589" s="306"/>
      <c r="BJ589" s="307"/>
      <c r="BK589" s="307"/>
      <c r="BL589" s="307"/>
      <c r="BM589" s="307"/>
      <c r="BN589" s="307"/>
      <c r="BO589" s="307"/>
      <c r="BP589" s="307"/>
      <c r="BQ589" s="307"/>
    </row>
    <row r="590" spans="3:69" s="302" customFormat="1" ht="11.75" customHeight="1" x14ac:dyDescent="0.15">
      <c r="G590" s="300"/>
      <c r="H590" s="301"/>
      <c r="I590" s="301"/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  <c r="Y590" s="301"/>
      <c r="Z590" s="301"/>
      <c r="AA590" s="301"/>
      <c r="AB590" s="301"/>
      <c r="AC590" s="301"/>
      <c r="AD590" s="301"/>
      <c r="AE590" s="301"/>
      <c r="AG590" s="331"/>
      <c r="AH590" s="306"/>
      <c r="AI590" s="306"/>
      <c r="AJ590" s="307"/>
      <c r="AK590" s="307"/>
      <c r="AL590" s="307"/>
      <c r="AM590" s="307"/>
      <c r="AN590" s="307"/>
      <c r="AO590" s="307"/>
      <c r="AP590" s="307"/>
      <c r="AQ590" s="307"/>
      <c r="AR590" s="307"/>
      <c r="AU590" s="306"/>
      <c r="AV590" s="306"/>
      <c r="AW590" s="306"/>
      <c r="AX590" s="307"/>
      <c r="AY590" s="307"/>
      <c r="AZ590" s="307"/>
      <c r="BA590" s="307"/>
      <c r="BB590" s="307"/>
      <c r="BC590" s="307"/>
      <c r="BD590" s="307"/>
      <c r="BE590" s="307"/>
      <c r="BG590" s="306"/>
      <c r="BH590" s="306"/>
      <c r="BI590" s="306"/>
      <c r="BJ590" s="307"/>
      <c r="BK590" s="307"/>
      <c r="BL590" s="307"/>
      <c r="BM590" s="307"/>
      <c r="BN590" s="307"/>
      <c r="BO590" s="307"/>
      <c r="BP590" s="307"/>
      <c r="BQ590" s="307"/>
    </row>
    <row r="591" spans="3:69" s="302" customFormat="1" ht="11.75" customHeight="1" x14ac:dyDescent="0.15">
      <c r="G591" s="300"/>
      <c r="H591" s="301"/>
      <c r="I591" s="301"/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  <c r="Y591" s="301"/>
      <c r="Z591" s="301"/>
      <c r="AA591" s="301"/>
      <c r="AB591" s="301"/>
      <c r="AC591" s="301"/>
      <c r="AD591" s="301"/>
      <c r="AE591" s="301"/>
      <c r="AG591" s="332"/>
      <c r="AH591" s="306"/>
      <c r="AI591" s="306"/>
      <c r="AJ591" s="307"/>
      <c r="AK591" s="307"/>
      <c r="AL591" s="307"/>
      <c r="AM591" s="307"/>
      <c r="AN591" s="307"/>
      <c r="AO591" s="307"/>
      <c r="AP591" s="307"/>
      <c r="AQ591" s="307"/>
      <c r="AR591" s="307"/>
      <c r="AU591" s="306"/>
      <c r="AV591" s="306"/>
      <c r="AW591" s="306"/>
      <c r="AX591" s="307"/>
      <c r="AY591" s="307"/>
      <c r="AZ591" s="307"/>
      <c r="BA591" s="307"/>
      <c r="BB591" s="307"/>
      <c r="BC591" s="307"/>
      <c r="BD591" s="307"/>
      <c r="BE591" s="301"/>
      <c r="BG591" s="306"/>
      <c r="BH591" s="306"/>
      <c r="BI591" s="306"/>
      <c r="BJ591" s="307"/>
      <c r="BK591" s="307"/>
      <c r="BL591" s="307"/>
      <c r="BM591" s="307"/>
      <c r="BN591" s="307"/>
      <c r="BO591" s="307"/>
      <c r="BP591" s="307"/>
      <c r="BQ591" s="301"/>
    </row>
    <row r="592" spans="3:69" s="302" customFormat="1" ht="11.75" customHeight="1" x14ac:dyDescent="0.15">
      <c r="G592" s="300"/>
      <c r="H592" s="301"/>
      <c r="I592" s="301"/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  <c r="Y592" s="301"/>
      <c r="Z592" s="301"/>
      <c r="AA592" s="301"/>
      <c r="AB592" s="301"/>
      <c r="AC592" s="301"/>
      <c r="AD592" s="301"/>
      <c r="AE592" s="301"/>
      <c r="AG592" s="332"/>
      <c r="AH592" s="306"/>
      <c r="AI592" s="306"/>
      <c r="AJ592" s="307"/>
      <c r="AK592" s="307"/>
      <c r="AL592" s="307"/>
      <c r="AM592" s="307"/>
      <c r="AN592" s="307"/>
      <c r="AO592" s="307"/>
      <c r="AP592" s="307"/>
      <c r="AQ592" s="307"/>
      <c r="AR592" s="307"/>
      <c r="AU592" s="327"/>
      <c r="AV592" s="306"/>
      <c r="AW592" s="306"/>
      <c r="AX592" s="307"/>
      <c r="AY592" s="307"/>
      <c r="AZ592" s="307"/>
      <c r="BA592" s="307"/>
      <c r="BB592" s="307"/>
      <c r="BC592" s="307"/>
      <c r="BD592" s="307"/>
      <c r="BE592" s="301"/>
      <c r="BG592" s="327"/>
      <c r="BH592" s="306"/>
      <c r="BI592" s="306"/>
      <c r="BJ592" s="307"/>
      <c r="BK592" s="307"/>
      <c r="BL592" s="307"/>
      <c r="BM592" s="307"/>
      <c r="BN592" s="307"/>
      <c r="BO592" s="307"/>
      <c r="BP592" s="307"/>
      <c r="BQ592" s="301"/>
    </row>
    <row r="593" spans="7:69" s="302" customFormat="1" ht="11.75" customHeight="1" x14ac:dyDescent="0.15">
      <c r="G593" s="300"/>
      <c r="H593" s="301"/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  <c r="Y593" s="301"/>
      <c r="Z593" s="301"/>
      <c r="AA593" s="301"/>
      <c r="AB593" s="301"/>
      <c r="AC593" s="301"/>
      <c r="AD593" s="301"/>
      <c r="AE593" s="301"/>
      <c r="AG593" s="332"/>
      <c r="AH593" s="306"/>
      <c r="AI593" s="306"/>
      <c r="AJ593" s="307"/>
      <c r="AK593" s="333"/>
      <c r="AL593" s="333"/>
      <c r="AM593" s="333"/>
      <c r="AN593" s="333"/>
      <c r="AO593" s="333"/>
      <c r="AP593" s="333"/>
      <c r="AQ593" s="333"/>
      <c r="AR593" s="333"/>
      <c r="AU593" s="306"/>
      <c r="AV593" s="306"/>
      <c r="AW593" s="306"/>
      <c r="AX593" s="307"/>
      <c r="AY593" s="307"/>
      <c r="AZ593" s="307"/>
      <c r="BA593" s="307"/>
      <c r="BB593" s="307"/>
      <c r="BC593" s="307"/>
      <c r="BD593" s="307"/>
      <c r="BE593" s="307"/>
      <c r="BG593" s="306"/>
      <c r="BH593" s="306"/>
      <c r="BI593" s="306"/>
      <c r="BJ593" s="307"/>
      <c r="BK593" s="307"/>
      <c r="BL593" s="307"/>
      <c r="BM593" s="307"/>
      <c r="BN593" s="307"/>
      <c r="BO593" s="307"/>
      <c r="BP593" s="307"/>
      <c r="BQ593" s="307"/>
    </row>
    <row r="594" spans="7:69" s="302" customFormat="1" ht="11.75" customHeight="1" x14ac:dyDescent="0.15">
      <c r="G594" s="300"/>
      <c r="H594" s="301"/>
      <c r="I594" s="301"/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  <c r="Y594" s="301"/>
      <c r="Z594" s="301"/>
      <c r="AA594" s="301"/>
      <c r="AB594" s="301"/>
      <c r="AC594" s="301"/>
      <c r="AD594" s="301"/>
      <c r="AE594" s="301"/>
      <c r="AG594" s="332"/>
      <c r="AH594" s="306"/>
      <c r="AI594" s="306"/>
      <c r="AJ594" s="307"/>
      <c r="AK594" s="307"/>
      <c r="AL594" s="307"/>
      <c r="AM594" s="307"/>
      <c r="AN594" s="307"/>
      <c r="AO594" s="307"/>
      <c r="AP594" s="307"/>
      <c r="AQ594" s="307"/>
      <c r="AR594" s="307"/>
      <c r="AU594" s="306"/>
      <c r="AV594" s="306"/>
      <c r="AW594" s="306"/>
      <c r="AX594" s="307"/>
      <c r="AY594" s="307"/>
      <c r="AZ594" s="307"/>
      <c r="BA594" s="307"/>
      <c r="BB594" s="307"/>
      <c r="BC594" s="307"/>
      <c r="BD594" s="307"/>
      <c r="BE594" s="307"/>
      <c r="BG594" s="306"/>
      <c r="BH594" s="306"/>
      <c r="BI594" s="306"/>
      <c r="BJ594" s="307"/>
      <c r="BK594" s="307"/>
      <c r="BL594" s="307"/>
      <c r="BM594" s="307"/>
      <c r="BN594" s="307"/>
      <c r="BO594" s="307"/>
      <c r="BP594" s="307"/>
      <c r="BQ594" s="307"/>
    </row>
    <row r="595" spans="7:69" s="302" customFormat="1" ht="11.75" customHeight="1" x14ac:dyDescent="0.15">
      <c r="G595" s="300"/>
      <c r="H595" s="301"/>
      <c r="I595" s="301"/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  <c r="Y595" s="301"/>
      <c r="Z595" s="301"/>
      <c r="AA595" s="301"/>
      <c r="AB595" s="301"/>
      <c r="AC595" s="301"/>
      <c r="AD595" s="301"/>
      <c r="AE595" s="301"/>
      <c r="AG595" s="332"/>
      <c r="AH595" s="306"/>
      <c r="AI595" s="306"/>
      <c r="AJ595" s="307"/>
      <c r="AK595" s="307"/>
      <c r="AL595" s="307"/>
      <c r="AM595" s="307"/>
      <c r="AN595" s="307"/>
      <c r="AO595" s="307"/>
      <c r="AP595" s="307"/>
      <c r="AQ595" s="307"/>
      <c r="AR595" s="307"/>
      <c r="AU595" s="306"/>
      <c r="AV595" s="306"/>
      <c r="AW595" s="306"/>
      <c r="AX595" s="307"/>
      <c r="AY595" s="307"/>
      <c r="AZ595" s="307"/>
      <c r="BA595" s="307"/>
      <c r="BB595" s="307"/>
      <c r="BC595" s="307"/>
      <c r="BD595" s="307"/>
      <c r="BE595" s="307"/>
      <c r="BG595" s="306"/>
      <c r="BH595" s="306"/>
      <c r="BI595" s="306"/>
      <c r="BJ595" s="307"/>
      <c r="BK595" s="307"/>
      <c r="BL595" s="307"/>
      <c r="BM595" s="307"/>
      <c r="BN595" s="307"/>
      <c r="BO595" s="307"/>
      <c r="BP595" s="307"/>
      <c r="BQ595" s="307"/>
    </row>
    <row r="596" spans="7:69" s="302" customFormat="1" ht="11.75" customHeight="1" x14ac:dyDescent="0.15">
      <c r="G596" s="300"/>
      <c r="H596" s="301"/>
      <c r="I596" s="301"/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  <c r="Y596" s="301"/>
      <c r="Z596" s="301"/>
      <c r="AA596" s="301"/>
      <c r="AB596" s="301"/>
      <c r="AC596" s="301"/>
      <c r="AD596" s="301"/>
      <c r="AE596" s="301"/>
      <c r="AG596" s="332"/>
      <c r="AH596" s="306"/>
      <c r="AI596" s="306"/>
      <c r="AJ596" s="307"/>
      <c r="AK596" s="307"/>
      <c r="AL596" s="307"/>
      <c r="AM596" s="307"/>
      <c r="AN596" s="307"/>
      <c r="AO596" s="307"/>
      <c r="AP596" s="307"/>
      <c r="AQ596" s="307"/>
      <c r="AR596" s="307"/>
      <c r="AU596" s="306"/>
      <c r="AV596" s="306"/>
      <c r="AW596" s="306"/>
      <c r="AX596" s="307"/>
      <c r="AY596" s="307"/>
      <c r="AZ596" s="307"/>
      <c r="BA596" s="307"/>
      <c r="BB596" s="307"/>
      <c r="BC596" s="307"/>
      <c r="BD596" s="307"/>
      <c r="BE596" s="307"/>
      <c r="BG596" s="306"/>
      <c r="BH596" s="306"/>
      <c r="BI596" s="306"/>
      <c r="BJ596" s="307"/>
      <c r="BK596" s="307"/>
      <c r="BL596" s="307"/>
      <c r="BM596" s="307"/>
      <c r="BN596" s="307"/>
      <c r="BO596" s="307"/>
      <c r="BP596" s="307"/>
      <c r="BQ596" s="307"/>
    </row>
    <row r="597" spans="7:69" s="302" customFormat="1" ht="11.75" customHeight="1" x14ac:dyDescent="0.15">
      <c r="G597" s="300"/>
      <c r="H597" s="301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  <c r="Y597" s="301"/>
      <c r="Z597" s="301"/>
      <c r="AA597" s="301"/>
      <c r="AB597" s="301"/>
      <c r="AC597" s="301"/>
      <c r="AD597" s="301"/>
      <c r="AE597" s="301"/>
      <c r="AG597" s="331"/>
      <c r="AH597" s="306"/>
      <c r="AI597" s="306"/>
      <c r="AJ597" s="307"/>
      <c r="AK597" s="307"/>
      <c r="AL597" s="307"/>
      <c r="AM597" s="307"/>
      <c r="AN597" s="307"/>
      <c r="AO597" s="307"/>
      <c r="AP597" s="307"/>
      <c r="AQ597" s="307"/>
      <c r="AR597" s="307"/>
      <c r="AU597" s="306"/>
      <c r="AV597" s="306"/>
      <c r="AW597" s="306"/>
      <c r="AX597" s="307"/>
      <c r="AY597" s="307"/>
      <c r="AZ597" s="307"/>
      <c r="BA597" s="307"/>
      <c r="BB597" s="307"/>
      <c r="BC597" s="307"/>
      <c r="BD597" s="307"/>
      <c r="BE597" s="301"/>
      <c r="BG597" s="306"/>
      <c r="BH597" s="306"/>
      <c r="BI597" s="306"/>
      <c r="BJ597" s="307"/>
      <c r="BK597" s="307"/>
      <c r="BL597" s="307"/>
      <c r="BM597" s="307"/>
      <c r="BN597" s="307"/>
      <c r="BO597" s="307"/>
      <c r="BP597" s="307"/>
      <c r="BQ597" s="301"/>
    </row>
    <row r="598" spans="7:69" s="302" customFormat="1" ht="11.75" customHeight="1" x14ac:dyDescent="0.15">
      <c r="G598" s="300"/>
      <c r="H598" s="301"/>
      <c r="I598" s="301"/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  <c r="Y598" s="301"/>
      <c r="Z598" s="301"/>
      <c r="AA598" s="301"/>
      <c r="AB598" s="301"/>
      <c r="AC598" s="301"/>
      <c r="AD598" s="301"/>
      <c r="AE598" s="301"/>
      <c r="AG598" s="332"/>
      <c r="AH598" s="306"/>
      <c r="AI598" s="306"/>
      <c r="AJ598" s="307"/>
      <c r="AK598" s="307"/>
      <c r="AL598" s="307"/>
      <c r="AM598" s="307"/>
      <c r="AN598" s="307"/>
      <c r="AO598" s="307"/>
      <c r="AP598" s="307"/>
      <c r="AQ598" s="307"/>
      <c r="AR598" s="307"/>
      <c r="AU598" s="327"/>
      <c r="AV598" s="306"/>
      <c r="AW598" s="306"/>
      <c r="AX598" s="307"/>
      <c r="AY598" s="307"/>
      <c r="AZ598" s="307"/>
      <c r="BA598" s="307"/>
      <c r="BB598" s="307"/>
      <c r="BC598" s="307"/>
      <c r="BD598" s="307"/>
      <c r="BE598" s="301"/>
      <c r="BG598" s="327"/>
      <c r="BH598" s="306"/>
      <c r="BI598" s="306"/>
      <c r="BJ598" s="307"/>
      <c r="BK598" s="307"/>
      <c r="BL598" s="307"/>
      <c r="BM598" s="307"/>
      <c r="BN598" s="307"/>
      <c r="BO598" s="307"/>
      <c r="BP598" s="307"/>
      <c r="BQ598" s="301"/>
    </row>
    <row r="599" spans="7:69" s="302" customFormat="1" ht="11.75" customHeight="1" x14ac:dyDescent="0.15">
      <c r="G599" s="300"/>
      <c r="H599" s="301"/>
      <c r="I599" s="301"/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  <c r="Y599" s="301"/>
      <c r="Z599" s="301"/>
      <c r="AA599" s="301"/>
      <c r="AB599" s="301"/>
      <c r="AC599" s="301"/>
      <c r="AD599" s="301"/>
      <c r="AE599" s="301"/>
      <c r="AG599" s="332"/>
      <c r="AH599" s="306"/>
      <c r="AI599" s="306"/>
      <c r="AJ599" s="307"/>
      <c r="AK599" s="307"/>
      <c r="AL599" s="307"/>
      <c r="AM599" s="307"/>
      <c r="AN599" s="307"/>
      <c r="AO599" s="307"/>
      <c r="AP599" s="307"/>
      <c r="AQ599" s="307"/>
      <c r="AR599" s="307"/>
      <c r="AU599" s="306"/>
      <c r="AV599" s="306"/>
      <c r="AW599" s="306"/>
      <c r="AX599" s="307"/>
      <c r="AY599" s="307"/>
      <c r="AZ599" s="307"/>
      <c r="BA599" s="307"/>
      <c r="BB599" s="307"/>
      <c r="BC599" s="307"/>
      <c r="BD599" s="307"/>
      <c r="BE599" s="307"/>
      <c r="BG599" s="306"/>
      <c r="BH599" s="306"/>
      <c r="BI599" s="306"/>
      <c r="BJ599" s="307"/>
      <c r="BK599" s="307"/>
      <c r="BL599" s="307"/>
      <c r="BM599" s="307"/>
      <c r="BN599" s="307"/>
      <c r="BO599" s="307"/>
      <c r="BP599" s="307"/>
      <c r="BQ599" s="307"/>
    </row>
    <row r="600" spans="7:69" s="302" customFormat="1" ht="11.75" customHeight="1" x14ac:dyDescent="0.15">
      <c r="G600" s="300"/>
      <c r="H600" s="301"/>
      <c r="I600" s="301"/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  <c r="Y600" s="301"/>
      <c r="Z600" s="301"/>
      <c r="AA600" s="301"/>
      <c r="AB600" s="301"/>
      <c r="AC600" s="301"/>
      <c r="AD600" s="301"/>
      <c r="AE600" s="301"/>
      <c r="AG600" s="332"/>
      <c r="AH600" s="306"/>
      <c r="AI600" s="306"/>
      <c r="AJ600" s="307"/>
      <c r="AK600" s="333"/>
      <c r="AL600" s="333"/>
      <c r="AM600" s="333"/>
      <c r="AN600" s="333"/>
      <c r="AO600" s="333"/>
      <c r="AP600" s="333"/>
      <c r="AQ600" s="333"/>
      <c r="AR600" s="333"/>
      <c r="AU600" s="306"/>
      <c r="AV600" s="306"/>
      <c r="AW600" s="306"/>
      <c r="AX600" s="307"/>
      <c r="AY600" s="307"/>
      <c r="AZ600" s="307"/>
      <c r="BA600" s="307"/>
      <c r="BB600" s="307"/>
      <c r="BC600" s="307"/>
      <c r="BD600" s="307"/>
      <c r="BE600" s="307"/>
      <c r="BG600" s="306"/>
      <c r="BH600" s="306"/>
      <c r="BI600" s="306"/>
      <c r="BJ600" s="307"/>
      <c r="BK600" s="307"/>
      <c r="BL600" s="307"/>
      <c r="BM600" s="307"/>
      <c r="BN600" s="307"/>
      <c r="BO600" s="307"/>
      <c r="BP600" s="307"/>
      <c r="BQ600" s="307"/>
    </row>
    <row r="601" spans="7:69" s="302" customFormat="1" ht="11.75" customHeight="1" x14ac:dyDescent="0.15">
      <c r="G601" s="300"/>
      <c r="H601" s="301"/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  <c r="Y601" s="301"/>
      <c r="Z601" s="301"/>
      <c r="AA601" s="301"/>
      <c r="AB601" s="301"/>
      <c r="AC601" s="301"/>
      <c r="AD601" s="301"/>
      <c r="AE601" s="301"/>
      <c r="AG601" s="332"/>
      <c r="AH601" s="306"/>
      <c r="AI601" s="306"/>
      <c r="AJ601" s="307"/>
      <c r="AK601" s="307"/>
      <c r="AL601" s="307"/>
      <c r="AM601" s="307"/>
      <c r="AN601" s="307"/>
      <c r="AO601" s="307"/>
      <c r="AP601" s="307"/>
      <c r="AQ601" s="307"/>
      <c r="AR601" s="307"/>
      <c r="AU601" s="306"/>
      <c r="AV601" s="306"/>
      <c r="AW601" s="306"/>
      <c r="AX601" s="307"/>
      <c r="AY601" s="307"/>
      <c r="AZ601" s="307"/>
      <c r="BA601" s="307"/>
      <c r="BB601" s="307"/>
      <c r="BC601" s="307"/>
      <c r="BD601" s="307"/>
      <c r="BE601" s="307"/>
      <c r="BG601" s="306"/>
      <c r="BH601" s="306"/>
      <c r="BI601" s="306"/>
      <c r="BJ601" s="307"/>
      <c r="BK601" s="307"/>
      <c r="BL601" s="307"/>
      <c r="BM601" s="307"/>
      <c r="BN601" s="307"/>
      <c r="BO601" s="307"/>
      <c r="BP601" s="307"/>
      <c r="BQ601" s="307"/>
    </row>
    <row r="602" spans="7:69" s="302" customFormat="1" ht="11.75" customHeight="1" x14ac:dyDescent="0.15">
      <c r="G602" s="300"/>
      <c r="H602" s="301"/>
      <c r="I602" s="301"/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  <c r="Y602" s="301"/>
      <c r="Z602" s="301"/>
      <c r="AA602" s="301"/>
      <c r="AB602" s="301"/>
      <c r="AC602" s="301"/>
      <c r="AD602" s="301"/>
      <c r="AE602" s="301"/>
      <c r="AG602" s="332"/>
      <c r="AH602" s="306"/>
      <c r="AI602" s="306"/>
      <c r="AJ602" s="307"/>
      <c r="AK602" s="307"/>
      <c r="AL602" s="307"/>
      <c r="AM602" s="307"/>
      <c r="AN602" s="307"/>
      <c r="AO602" s="307"/>
      <c r="AP602" s="307"/>
      <c r="AQ602" s="307"/>
      <c r="AR602" s="307"/>
      <c r="AU602" s="306"/>
      <c r="AV602" s="306"/>
      <c r="AW602" s="306"/>
      <c r="AX602" s="307"/>
      <c r="AY602" s="307"/>
      <c r="AZ602" s="307"/>
      <c r="BA602" s="307"/>
      <c r="BB602" s="307"/>
      <c r="BC602" s="307"/>
      <c r="BD602" s="307"/>
      <c r="BE602" s="307"/>
      <c r="BG602" s="306"/>
      <c r="BH602" s="306"/>
      <c r="BI602" s="306"/>
      <c r="BJ602" s="307"/>
      <c r="BK602" s="307"/>
      <c r="BL602" s="307"/>
      <c r="BM602" s="307"/>
      <c r="BN602" s="307"/>
      <c r="BO602" s="307"/>
      <c r="BP602" s="307"/>
      <c r="BQ602" s="307"/>
    </row>
    <row r="603" spans="7:69" s="302" customFormat="1" ht="11.75" customHeight="1" x14ac:dyDescent="0.15">
      <c r="G603" s="300"/>
      <c r="H603" s="301"/>
      <c r="I603" s="301"/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  <c r="Y603" s="301"/>
      <c r="Z603" s="301"/>
      <c r="AA603" s="301"/>
      <c r="AB603" s="301"/>
      <c r="AC603" s="301"/>
      <c r="AD603" s="301"/>
      <c r="AE603" s="301"/>
      <c r="AG603" s="332"/>
      <c r="AH603" s="306"/>
      <c r="AI603" s="306"/>
      <c r="AJ603" s="307"/>
      <c r="AK603" s="307"/>
      <c r="AL603" s="307"/>
      <c r="AM603" s="307"/>
      <c r="AN603" s="307"/>
      <c r="AO603" s="307"/>
      <c r="AP603" s="307"/>
      <c r="AQ603" s="307"/>
      <c r="AR603" s="307"/>
      <c r="AU603" s="306"/>
      <c r="AV603" s="306"/>
      <c r="AW603" s="306"/>
      <c r="AX603" s="307"/>
      <c r="AY603" s="307"/>
      <c r="AZ603" s="307"/>
      <c r="BA603" s="307"/>
      <c r="BB603" s="307"/>
      <c r="BC603" s="307"/>
      <c r="BD603" s="307"/>
      <c r="BE603" s="301"/>
      <c r="BG603" s="306"/>
      <c r="BH603" s="306"/>
      <c r="BI603" s="306"/>
      <c r="BJ603" s="307"/>
      <c r="BK603" s="307"/>
      <c r="BL603" s="307"/>
      <c r="BM603" s="307"/>
      <c r="BN603" s="307"/>
      <c r="BO603" s="307"/>
      <c r="BP603" s="307"/>
      <c r="BQ603" s="301"/>
    </row>
    <row r="604" spans="7:69" s="302" customFormat="1" ht="11.75" customHeight="1" x14ac:dyDescent="0.15">
      <c r="G604" s="300"/>
      <c r="H604" s="301"/>
      <c r="I604" s="301"/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  <c r="Y604" s="301"/>
      <c r="Z604" s="301"/>
      <c r="AA604" s="301"/>
      <c r="AB604" s="301"/>
      <c r="AC604" s="301"/>
      <c r="AD604" s="301"/>
      <c r="AE604" s="301"/>
      <c r="AH604" s="306"/>
      <c r="AI604" s="306"/>
      <c r="AJ604" s="307"/>
      <c r="AK604" s="307"/>
      <c r="AL604" s="307"/>
      <c r="AM604" s="307"/>
      <c r="AN604" s="307"/>
      <c r="AO604" s="307"/>
      <c r="AP604" s="307"/>
      <c r="AQ604" s="307"/>
      <c r="AR604" s="307"/>
      <c r="AU604" s="327"/>
      <c r="AV604" s="306"/>
      <c r="AW604" s="306"/>
      <c r="AX604" s="307"/>
      <c r="AY604" s="307"/>
      <c r="AZ604" s="307"/>
      <c r="BA604" s="307"/>
      <c r="BB604" s="307"/>
      <c r="BC604" s="307"/>
      <c r="BD604" s="307"/>
      <c r="BE604" s="301"/>
      <c r="BG604" s="327"/>
      <c r="BH604" s="306"/>
      <c r="BI604" s="306"/>
      <c r="BJ604" s="307"/>
      <c r="BK604" s="307"/>
      <c r="BL604" s="307"/>
      <c r="BM604" s="307"/>
      <c r="BN604" s="307"/>
      <c r="BO604" s="307"/>
      <c r="BP604" s="307"/>
      <c r="BQ604" s="301"/>
    </row>
    <row r="605" spans="7:69" s="302" customFormat="1" ht="11.75" customHeight="1" x14ac:dyDescent="0.15">
      <c r="G605" s="300"/>
      <c r="H605" s="301"/>
      <c r="I605" s="301"/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  <c r="Y605" s="301"/>
      <c r="Z605" s="301"/>
      <c r="AA605" s="301"/>
      <c r="AB605" s="301"/>
      <c r="AC605" s="301"/>
      <c r="AD605" s="301"/>
      <c r="AE605" s="301"/>
      <c r="AH605" s="303"/>
      <c r="AI605" s="303"/>
      <c r="AJ605" s="303"/>
      <c r="AK605" s="306"/>
      <c r="AL605" s="306"/>
      <c r="AM605" s="306"/>
      <c r="AN605" s="306"/>
      <c r="AO605" s="306"/>
      <c r="AP605" s="306"/>
      <c r="AQ605" s="306"/>
      <c r="AR605" s="306"/>
      <c r="AU605" s="306"/>
      <c r="AV605" s="306"/>
      <c r="AW605" s="306"/>
      <c r="AX605" s="307"/>
      <c r="AY605" s="307"/>
      <c r="AZ605" s="307"/>
      <c r="BA605" s="307"/>
      <c r="BB605" s="307"/>
      <c r="BC605" s="307"/>
      <c r="BD605" s="307"/>
      <c r="BE605" s="307"/>
      <c r="BG605" s="306"/>
      <c r="BH605" s="306"/>
      <c r="BI605" s="306"/>
      <c r="BJ605" s="307"/>
      <c r="BK605" s="307"/>
      <c r="BL605" s="307"/>
      <c r="BM605" s="307"/>
      <c r="BN605" s="307"/>
      <c r="BO605" s="307"/>
      <c r="BP605" s="307"/>
      <c r="BQ605" s="307"/>
    </row>
    <row r="606" spans="7:69" s="302" customFormat="1" ht="11.75" customHeight="1" x14ac:dyDescent="0.15">
      <c r="G606" s="300"/>
      <c r="H606" s="301"/>
      <c r="I606" s="301"/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  <c r="Y606" s="301"/>
      <c r="Z606" s="301"/>
      <c r="AA606" s="301"/>
      <c r="AB606" s="301"/>
      <c r="AC606" s="301"/>
      <c r="AD606" s="301"/>
      <c r="AE606" s="301"/>
      <c r="AH606" s="317"/>
      <c r="AI606" s="306"/>
      <c r="AJ606" s="306"/>
      <c r="AK606" s="306"/>
      <c r="AL606" s="306"/>
      <c r="AM606" s="306"/>
      <c r="AN606" s="306"/>
      <c r="AO606" s="306"/>
      <c r="AP606" s="306"/>
      <c r="AQ606" s="306"/>
      <c r="AR606" s="306"/>
      <c r="AU606" s="306"/>
      <c r="AV606" s="306"/>
      <c r="AW606" s="306"/>
      <c r="AX606" s="307"/>
      <c r="AY606" s="307"/>
      <c r="AZ606" s="307"/>
      <c r="BA606" s="307"/>
      <c r="BB606" s="307"/>
      <c r="BC606" s="307"/>
      <c r="BD606" s="307"/>
      <c r="BE606" s="307"/>
      <c r="BG606" s="306"/>
      <c r="BH606" s="306"/>
      <c r="BI606" s="306"/>
      <c r="BJ606" s="307"/>
      <c r="BK606" s="307"/>
      <c r="BL606" s="307"/>
      <c r="BM606" s="307"/>
      <c r="BN606" s="307"/>
      <c r="BO606" s="307"/>
      <c r="BP606" s="307"/>
      <c r="BQ606" s="307"/>
    </row>
    <row r="607" spans="7:69" s="302" customFormat="1" ht="11.75" customHeight="1" x14ac:dyDescent="0.15">
      <c r="G607" s="300"/>
      <c r="H607" s="301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  <c r="Y607" s="301"/>
      <c r="Z607" s="301"/>
      <c r="AA607" s="301"/>
      <c r="AB607" s="301"/>
      <c r="AC607" s="301"/>
      <c r="AD607" s="301"/>
      <c r="AE607" s="301"/>
      <c r="AH607" s="306"/>
      <c r="AI607" s="306"/>
      <c r="AJ607" s="306"/>
      <c r="AK607" s="306"/>
      <c r="AL607" s="306"/>
      <c r="AM607" s="306"/>
      <c r="AN607" s="306"/>
      <c r="AO607" s="306"/>
      <c r="AP607" s="306"/>
      <c r="AQ607" s="306"/>
      <c r="AR607" s="306"/>
      <c r="AU607" s="306"/>
      <c r="AV607" s="306"/>
      <c r="AW607" s="306"/>
      <c r="AX607" s="307"/>
      <c r="AY607" s="307"/>
      <c r="AZ607" s="307"/>
      <c r="BA607" s="307"/>
      <c r="BB607" s="307"/>
      <c r="BC607" s="307"/>
      <c r="BD607" s="307"/>
      <c r="BE607" s="307"/>
      <c r="BG607" s="306"/>
      <c r="BH607" s="306"/>
      <c r="BI607" s="306"/>
      <c r="BJ607" s="307"/>
      <c r="BK607" s="307"/>
      <c r="BL607" s="307"/>
      <c r="BM607" s="307"/>
      <c r="BN607" s="307"/>
      <c r="BO607" s="307"/>
      <c r="BP607" s="307"/>
      <c r="BQ607" s="307"/>
    </row>
    <row r="608" spans="7:69" s="302" customFormat="1" ht="11.75" customHeight="1" x14ac:dyDescent="0.15">
      <c r="G608" s="300"/>
      <c r="H608" s="301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  <c r="Y608" s="301"/>
      <c r="Z608" s="301"/>
      <c r="AA608" s="301"/>
      <c r="AB608" s="301"/>
      <c r="AC608" s="301"/>
      <c r="AD608" s="301"/>
      <c r="AE608" s="301"/>
      <c r="AH608" s="317"/>
      <c r="AI608" s="306"/>
      <c r="AJ608" s="307"/>
      <c r="AK608" s="307"/>
      <c r="AL608" s="307"/>
      <c r="AM608" s="307"/>
      <c r="AN608" s="307"/>
      <c r="AO608" s="307"/>
      <c r="AP608" s="307"/>
      <c r="AQ608" s="307"/>
      <c r="AR608" s="307"/>
      <c r="AU608" s="306"/>
      <c r="AV608" s="306"/>
      <c r="AW608" s="306"/>
      <c r="AX608" s="307"/>
      <c r="AY608" s="307"/>
      <c r="AZ608" s="307"/>
      <c r="BA608" s="307"/>
      <c r="BB608" s="307"/>
      <c r="BC608" s="307"/>
      <c r="BD608" s="307"/>
      <c r="BE608" s="307"/>
      <c r="BG608" s="306"/>
      <c r="BH608" s="306"/>
      <c r="BI608" s="306"/>
      <c r="BJ608" s="307"/>
      <c r="BK608" s="307"/>
      <c r="BL608" s="307"/>
      <c r="BM608" s="307"/>
      <c r="BN608" s="307"/>
      <c r="BO608" s="307"/>
      <c r="BP608" s="307"/>
      <c r="BQ608" s="307"/>
    </row>
    <row r="609" spans="7:69" s="302" customFormat="1" ht="11.75" customHeight="1" x14ac:dyDescent="0.15">
      <c r="G609" s="300"/>
      <c r="H609" s="301"/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  <c r="Y609" s="301"/>
      <c r="Z609" s="301"/>
      <c r="AA609" s="301"/>
      <c r="AB609" s="301"/>
      <c r="AC609" s="301"/>
      <c r="AD609" s="301"/>
      <c r="AE609" s="301"/>
      <c r="AH609" s="306"/>
      <c r="AI609" s="306"/>
      <c r="AJ609" s="307"/>
      <c r="AK609" s="307"/>
      <c r="AL609" s="307"/>
      <c r="AM609" s="307"/>
      <c r="AN609" s="307"/>
      <c r="AO609" s="307"/>
      <c r="AP609" s="307"/>
      <c r="AQ609" s="307"/>
      <c r="AR609" s="307"/>
      <c r="AU609" s="306"/>
      <c r="AV609" s="306"/>
      <c r="AW609" s="306"/>
      <c r="AX609" s="307"/>
      <c r="AY609" s="307"/>
      <c r="AZ609" s="307"/>
      <c r="BA609" s="307"/>
      <c r="BB609" s="307"/>
      <c r="BC609" s="307"/>
      <c r="BD609" s="307"/>
      <c r="BE609" s="301"/>
      <c r="BG609" s="306"/>
      <c r="BH609" s="306"/>
      <c r="BI609" s="306"/>
      <c r="BJ609" s="307"/>
      <c r="BK609" s="307"/>
      <c r="BL609" s="307"/>
      <c r="BM609" s="307"/>
      <c r="BN609" s="307"/>
      <c r="BO609" s="307"/>
      <c r="BP609" s="307"/>
      <c r="BQ609" s="301"/>
    </row>
    <row r="610" spans="7:69" s="302" customFormat="1" ht="11.75" customHeight="1" x14ac:dyDescent="0.15">
      <c r="G610" s="300"/>
      <c r="H610" s="301"/>
      <c r="I610" s="301"/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  <c r="Y610" s="301"/>
      <c r="Z610" s="301"/>
      <c r="AA610" s="301"/>
      <c r="AB610" s="301"/>
      <c r="AC610" s="301"/>
      <c r="AD610" s="301"/>
      <c r="AE610" s="301"/>
      <c r="AH610" s="306"/>
      <c r="AI610" s="306"/>
      <c r="AJ610" s="307"/>
      <c r="AK610" s="307"/>
      <c r="AL610" s="307"/>
      <c r="AM610" s="307"/>
      <c r="AN610" s="307"/>
      <c r="AO610" s="307"/>
      <c r="AP610" s="307"/>
      <c r="AQ610" s="307"/>
      <c r="AR610" s="307"/>
      <c r="AU610" s="327"/>
      <c r="AV610" s="306"/>
      <c r="AW610" s="306"/>
      <c r="AX610" s="307"/>
      <c r="AY610" s="307"/>
      <c r="AZ610" s="307"/>
      <c r="BA610" s="307"/>
      <c r="BB610" s="307"/>
      <c r="BC610" s="307"/>
      <c r="BD610" s="307"/>
      <c r="BE610" s="301"/>
      <c r="BG610" s="327"/>
      <c r="BH610" s="306"/>
      <c r="BI610" s="306"/>
      <c r="BJ610" s="307"/>
      <c r="BK610" s="307"/>
      <c r="BL610" s="307"/>
      <c r="BM610" s="307"/>
      <c r="BN610" s="307"/>
      <c r="BO610" s="307"/>
      <c r="BP610" s="307"/>
      <c r="BQ610" s="301"/>
    </row>
    <row r="611" spans="7:69" s="302" customFormat="1" ht="11.75" customHeight="1" x14ac:dyDescent="0.15">
      <c r="G611" s="300"/>
      <c r="H611" s="301"/>
      <c r="I611" s="301"/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  <c r="Y611" s="301"/>
      <c r="Z611" s="301"/>
      <c r="AA611" s="301"/>
      <c r="AB611" s="301"/>
      <c r="AC611" s="301"/>
      <c r="AD611" s="301"/>
      <c r="AE611" s="301"/>
      <c r="AH611" s="306"/>
      <c r="AI611" s="306"/>
      <c r="AJ611" s="307"/>
      <c r="AK611" s="307"/>
      <c r="AL611" s="307"/>
      <c r="AM611" s="307"/>
      <c r="AN611" s="307"/>
      <c r="AO611" s="307"/>
      <c r="AP611" s="307"/>
      <c r="AQ611" s="307"/>
      <c r="AR611" s="307"/>
      <c r="AU611" s="306"/>
      <c r="AV611" s="306"/>
      <c r="AW611" s="306"/>
      <c r="AX611" s="307"/>
      <c r="AY611" s="307"/>
      <c r="AZ611" s="307"/>
      <c r="BA611" s="307"/>
      <c r="BB611" s="307"/>
      <c r="BC611" s="307"/>
      <c r="BD611" s="307"/>
      <c r="BE611" s="307"/>
      <c r="BG611" s="306"/>
      <c r="BH611" s="306"/>
      <c r="BI611" s="306"/>
      <c r="BJ611" s="307"/>
      <c r="BK611" s="307"/>
      <c r="BL611" s="307"/>
      <c r="BM611" s="307"/>
      <c r="BN611" s="307"/>
      <c r="BO611" s="307"/>
      <c r="BP611" s="307"/>
      <c r="BQ611" s="307"/>
    </row>
    <row r="612" spans="7:69" s="302" customFormat="1" ht="11.75" customHeight="1" x14ac:dyDescent="0.15">
      <c r="G612" s="300"/>
      <c r="H612" s="301"/>
      <c r="I612" s="301"/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  <c r="Y612" s="301"/>
      <c r="Z612" s="301"/>
      <c r="AA612" s="301"/>
      <c r="AB612" s="301"/>
      <c r="AC612" s="301"/>
      <c r="AD612" s="301"/>
      <c r="AE612" s="301"/>
      <c r="AH612" s="306"/>
      <c r="AI612" s="306"/>
      <c r="AJ612" s="307"/>
      <c r="AK612" s="310"/>
      <c r="AL612" s="310"/>
      <c r="AM612" s="310"/>
      <c r="AN612" s="310"/>
      <c r="AO612" s="310"/>
      <c r="AP612" s="310"/>
      <c r="AQ612" s="310"/>
      <c r="AR612" s="310"/>
      <c r="AU612" s="306"/>
      <c r="AV612" s="306"/>
      <c r="AW612" s="306"/>
      <c r="AX612" s="307"/>
      <c r="AY612" s="307"/>
      <c r="AZ612" s="307"/>
      <c r="BA612" s="307"/>
      <c r="BB612" s="307"/>
      <c r="BC612" s="307"/>
      <c r="BD612" s="307"/>
      <c r="BE612" s="307"/>
      <c r="BG612" s="306"/>
      <c r="BH612" s="306"/>
      <c r="BI612" s="306"/>
      <c r="BJ612" s="307"/>
      <c r="BK612" s="307"/>
      <c r="BL612" s="307"/>
      <c r="BM612" s="307"/>
      <c r="BN612" s="307"/>
      <c r="BO612" s="307"/>
      <c r="BP612" s="307"/>
      <c r="BQ612" s="307"/>
    </row>
    <row r="613" spans="7:69" s="302" customFormat="1" ht="11.75" customHeight="1" x14ac:dyDescent="0.15">
      <c r="G613" s="300"/>
      <c r="H613" s="301"/>
      <c r="I613" s="301"/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  <c r="Y613" s="301"/>
      <c r="Z613" s="301"/>
      <c r="AA613" s="301"/>
      <c r="AB613" s="301"/>
      <c r="AC613" s="301"/>
      <c r="AD613" s="301"/>
      <c r="AE613" s="301"/>
      <c r="AH613" s="306"/>
      <c r="AI613" s="306"/>
      <c r="AJ613" s="307"/>
      <c r="AK613" s="310"/>
      <c r="AL613" s="310"/>
      <c r="AM613" s="310"/>
      <c r="AN613" s="310"/>
      <c r="AO613" s="310"/>
      <c r="AP613" s="310"/>
      <c r="AQ613" s="310"/>
      <c r="AR613" s="310"/>
      <c r="AU613" s="306"/>
      <c r="AV613" s="306"/>
      <c r="AW613" s="306"/>
      <c r="AX613" s="307"/>
      <c r="AY613" s="307"/>
      <c r="AZ613" s="307"/>
      <c r="BA613" s="307"/>
      <c r="BB613" s="307"/>
      <c r="BC613" s="307"/>
      <c r="BD613" s="307"/>
      <c r="BE613" s="307"/>
      <c r="BG613" s="306"/>
      <c r="BH613" s="306"/>
      <c r="BI613" s="306"/>
      <c r="BJ613" s="307"/>
      <c r="BK613" s="307"/>
      <c r="BL613" s="307"/>
      <c r="BM613" s="307"/>
      <c r="BN613" s="307"/>
      <c r="BO613" s="307"/>
      <c r="BP613" s="307"/>
      <c r="BQ613" s="307"/>
    </row>
    <row r="614" spans="7:69" s="302" customFormat="1" ht="11.75" customHeight="1" x14ac:dyDescent="0.15">
      <c r="G614" s="300"/>
      <c r="H614" s="301"/>
      <c r="I614" s="301"/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  <c r="Y614" s="301"/>
      <c r="Z614" s="301"/>
      <c r="AA614" s="301"/>
      <c r="AB614" s="301"/>
      <c r="AC614" s="301"/>
      <c r="AD614" s="301"/>
      <c r="AE614" s="301"/>
      <c r="AH614" s="306"/>
      <c r="AI614" s="306"/>
      <c r="AJ614" s="307"/>
      <c r="AK614" s="307"/>
      <c r="AL614" s="307"/>
      <c r="AM614" s="307"/>
      <c r="AN614" s="307"/>
      <c r="AO614" s="307"/>
      <c r="AP614" s="307"/>
      <c r="AQ614" s="307"/>
      <c r="AR614" s="307"/>
      <c r="AU614" s="306"/>
      <c r="AV614" s="306"/>
      <c r="AW614" s="306"/>
      <c r="AX614" s="307"/>
      <c r="AY614" s="307"/>
      <c r="AZ614" s="307"/>
      <c r="BA614" s="307"/>
      <c r="BB614" s="307"/>
      <c r="BC614" s="307"/>
      <c r="BD614" s="307"/>
      <c r="BE614" s="307"/>
      <c r="BG614" s="306"/>
      <c r="BH614" s="306"/>
      <c r="BI614" s="306"/>
      <c r="BJ614" s="307"/>
      <c r="BK614" s="307"/>
      <c r="BL614" s="307"/>
      <c r="BM614" s="307"/>
      <c r="BN614" s="307"/>
      <c r="BO614" s="307"/>
      <c r="BP614" s="307"/>
      <c r="BQ614" s="307"/>
    </row>
    <row r="615" spans="7:69" s="302" customFormat="1" ht="11.75" customHeight="1" x14ac:dyDescent="0.15">
      <c r="G615" s="300"/>
      <c r="H615" s="301"/>
      <c r="I615" s="301"/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  <c r="Y615" s="301"/>
      <c r="Z615" s="301"/>
      <c r="AA615" s="301"/>
      <c r="AB615" s="301"/>
      <c r="AC615" s="301"/>
      <c r="AD615" s="301"/>
      <c r="AE615" s="301"/>
      <c r="AH615" s="327"/>
      <c r="AI615" s="306"/>
      <c r="AJ615" s="307"/>
      <c r="AK615" s="307"/>
      <c r="AL615" s="307"/>
      <c r="AM615" s="307"/>
      <c r="AN615" s="307"/>
      <c r="AO615" s="307"/>
      <c r="AP615" s="307"/>
      <c r="AQ615" s="307"/>
      <c r="AR615" s="307"/>
      <c r="AU615" s="306"/>
      <c r="AV615" s="306"/>
      <c r="AW615" s="306"/>
      <c r="AX615" s="307"/>
      <c r="AY615" s="307"/>
      <c r="AZ615" s="307"/>
      <c r="BA615" s="307"/>
      <c r="BB615" s="307"/>
      <c r="BC615" s="307"/>
      <c r="BD615" s="307"/>
      <c r="BE615" s="301"/>
      <c r="BG615" s="306"/>
      <c r="BH615" s="306"/>
      <c r="BI615" s="306"/>
      <c r="BJ615" s="307"/>
      <c r="BK615" s="307"/>
      <c r="BL615" s="307"/>
      <c r="BM615" s="307"/>
      <c r="BN615" s="307"/>
      <c r="BO615" s="307"/>
      <c r="BP615" s="307"/>
      <c r="BQ615" s="301"/>
    </row>
    <row r="616" spans="7:69" s="302" customFormat="1" ht="11.75" customHeight="1" x14ac:dyDescent="0.15">
      <c r="G616" s="300"/>
      <c r="H616" s="301"/>
      <c r="I616" s="301"/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  <c r="Y616" s="301"/>
      <c r="Z616" s="301"/>
      <c r="AA616" s="301"/>
      <c r="AB616" s="301"/>
      <c r="AC616" s="301"/>
      <c r="AD616" s="301"/>
      <c r="AE616" s="301"/>
      <c r="AH616" s="306"/>
      <c r="AI616" s="306"/>
      <c r="AJ616" s="307"/>
      <c r="AK616" s="307"/>
      <c r="AL616" s="307"/>
      <c r="AM616" s="307"/>
      <c r="AN616" s="307"/>
      <c r="AO616" s="307"/>
      <c r="AP616" s="307"/>
      <c r="AQ616" s="307"/>
      <c r="AR616" s="307"/>
      <c r="AU616" s="327"/>
      <c r="AV616" s="306"/>
      <c r="AW616" s="306"/>
      <c r="AX616" s="307"/>
      <c r="AY616" s="307"/>
      <c r="AZ616" s="307"/>
      <c r="BA616" s="307"/>
      <c r="BB616" s="307"/>
      <c r="BC616" s="307"/>
      <c r="BD616" s="307"/>
      <c r="BE616" s="301"/>
      <c r="BG616" s="327"/>
      <c r="BH616" s="306"/>
      <c r="BI616" s="306"/>
      <c r="BJ616" s="307"/>
      <c r="BK616" s="307"/>
      <c r="BL616" s="307"/>
      <c r="BM616" s="307"/>
      <c r="BN616" s="307"/>
      <c r="BO616" s="307"/>
      <c r="BP616" s="307"/>
      <c r="BQ616" s="301"/>
    </row>
    <row r="617" spans="7:69" s="302" customFormat="1" ht="11.75" customHeight="1" x14ac:dyDescent="0.15">
      <c r="G617" s="300"/>
      <c r="H617" s="301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  <c r="Y617" s="301"/>
      <c r="Z617" s="301"/>
      <c r="AA617" s="301"/>
      <c r="AB617" s="301"/>
      <c r="AC617" s="301"/>
      <c r="AD617" s="301"/>
      <c r="AE617" s="301"/>
      <c r="AH617" s="306"/>
      <c r="AI617" s="306"/>
      <c r="AJ617" s="307"/>
      <c r="AK617" s="307"/>
      <c r="AL617" s="307"/>
      <c r="AM617" s="307"/>
      <c r="AN617" s="307"/>
      <c r="AO617" s="307"/>
      <c r="AP617" s="307"/>
      <c r="AQ617" s="307"/>
      <c r="AR617" s="307"/>
      <c r="AU617" s="306"/>
      <c r="AV617" s="306"/>
      <c r="AW617" s="306"/>
      <c r="AX617" s="307"/>
      <c r="AY617" s="307"/>
      <c r="AZ617" s="307"/>
      <c r="BA617" s="307"/>
      <c r="BB617" s="307"/>
      <c r="BC617" s="307"/>
      <c r="BD617" s="307"/>
      <c r="BE617" s="307"/>
      <c r="BG617" s="306"/>
      <c r="BH617" s="306"/>
      <c r="BI617" s="306"/>
      <c r="BJ617" s="307"/>
      <c r="BK617" s="307"/>
      <c r="BL617" s="307"/>
      <c r="BM617" s="307"/>
      <c r="BN617" s="307"/>
      <c r="BO617" s="307"/>
      <c r="BP617" s="307"/>
      <c r="BQ617" s="307"/>
    </row>
    <row r="618" spans="7:69" s="302" customFormat="1" ht="11.75" customHeight="1" x14ac:dyDescent="0.15">
      <c r="G618" s="300"/>
      <c r="H618" s="301"/>
      <c r="I618" s="301"/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  <c r="Y618" s="301"/>
      <c r="Z618" s="301"/>
      <c r="AA618" s="301"/>
      <c r="AB618" s="301"/>
      <c r="AC618" s="301"/>
      <c r="AD618" s="301"/>
      <c r="AE618" s="301"/>
      <c r="AH618" s="306"/>
      <c r="AI618" s="306"/>
      <c r="AJ618" s="307"/>
      <c r="AK618" s="307"/>
      <c r="AL618" s="307"/>
      <c r="AM618" s="307"/>
      <c r="AN618" s="307"/>
      <c r="AO618" s="307"/>
      <c r="AP618" s="307"/>
      <c r="AQ618" s="307"/>
      <c r="AR618" s="307"/>
      <c r="AU618" s="306"/>
      <c r="AV618" s="306"/>
      <c r="AW618" s="306"/>
      <c r="AX618" s="307"/>
      <c r="AY618" s="307"/>
      <c r="AZ618" s="307"/>
      <c r="BA618" s="307"/>
      <c r="BB618" s="307"/>
      <c r="BC618" s="307"/>
      <c r="BD618" s="307"/>
      <c r="BE618" s="307"/>
      <c r="BG618" s="306"/>
      <c r="BH618" s="306"/>
      <c r="BI618" s="306"/>
      <c r="BJ618" s="307"/>
      <c r="BK618" s="307"/>
      <c r="BL618" s="307"/>
      <c r="BM618" s="307"/>
      <c r="BN618" s="307"/>
      <c r="BO618" s="307"/>
      <c r="BP618" s="307"/>
      <c r="BQ618" s="307"/>
    </row>
    <row r="619" spans="7:69" s="302" customFormat="1" ht="11.75" customHeight="1" x14ac:dyDescent="0.15">
      <c r="G619" s="300"/>
      <c r="H619" s="301"/>
      <c r="I619" s="301"/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  <c r="Y619" s="301"/>
      <c r="Z619" s="301"/>
      <c r="AA619" s="301"/>
      <c r="AB619" s="301"/>
      <c r="AC619" s="301"/>
      <c r="AD619" s="301"/>
      <c r="AE619" s="301"/>
      <c r="AH619" s="306"/>
      <c r="AI619" s="306"/>
      <c r="AJ619" s="307"/>
      <c r="AK619" s="307"/>
      <c r="AL619" s="307"/>
      <c r="AM619" s="307"/>
      <c r="AN619" s="307"/>
      <c r="AO619" s="307"/>
      <c r="AP619" s="307"/>
      <c r="AQ619" s="307"/>
      <c r="AR619" s="307"/>
      <c r="AU619" s="306"/>
      <c r="AV619" s="306"/>
      <c r="AW619" s="306"/>
      <c r="AX619" s="307"/>
      <c r="AY619" s="307"/>
      <c r="AZ619" s="307"/>
      <c r="BA619" s="307"/>
      <c r="BB619" s="307"/>
      <c r="BC619" s="307"/>
      <c r="BD619" s="307"/>
      <c r="BE619" s="307"/>
      <c r="BG619" s="306"/>
      <c r="BH619" s="306"/>
      <c r="BI619" s="306"/>
      <c r="BJ619" s="307"/>
      <c r="BK619" s="307"/>
      <c r="BL619" s="307"/>
      <c r="BM619" s="307"/>
      <c r="BN619" s="307"/>
      <c r="BO619" s="307"/>
      <c r="BP619" s="307"/>
      <c r="BQ619" s="307"/>
    </row>
    <row r="620" spans="7:69" s="302" customFormat="1" ht="11.75" customHeight="1" x14ac:dyDescent="0.15">
      <c r="G620" s="300"/>
      <c r="H620" s="301"/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  <c r="Y620" s="301"/>
      <c r="Z620" s="301"/>
      <c r="AA620" s="301"/>
      <c r="AB620" s="301"/>
      <c r="AC620" s="301"/>
      <c r="AD620" s="301"/>
      <c r="AE620" s="301"/>
      <c r="AH620" s="306"/>
      <c r="AI620" s="306"/>
      <c r="AJ620" s="307"/>
      <c r="AK620" s="307"/>
      <c r="AL620" s="307"/>
      <c r="AM620" s="307"/>
      <c r="AN620" s="307"/>
      <c r="AO620" s="307"/>
      <c r="AP620" s="307"/>
      <c r="AQ620" s="307"/>
      <c r="AR620" s="307"/>
      <c r="AU620" s="306"/>
      <c r="AV620" s="306"/>
      <c r="AW620" s="306"/>
      <c r="AX620" s="307"/>
      <c r="AY620" s="307"/>
      <c r="AZ620" s="307"/>
      <c r="BA620" s="307"/>
      <c r="BB620" s="307"/>
      <c r="BC620" s="307"/>
      <c r="BD620" s="307"/>
      <c r="BE620" s="307"/>
      <c r="BG620" s="306"/>
      <c r="BH620" s="306"/>
      <c r="BI620" s="306"/>
      <c r="BJ620" s="307"/>
      <c r="BK620" s="307"/>
      <c r="BL620" s="307"/>
      <c r="BM620" s="307"/>
      <c r="BN620" s="307"/>
      <c r="BO620" s="307"/>
      <c r="BP620" s="307"/>
      <c r="BQ620" s="307"/>
    </row>
    <row r="621" spans="7:69" s="302" customFormat="1" ht="11.75" customHeight="1" x14ac:dyDescent="0.15">
      <c r="G621" s="300"/>
      <c r="H621" s="301"/>
      <c r="I621" s="301"/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  <c r="Y621" s="301"/>
      <c r="Z621" s="301"/>
      <c r="AA621" s="301"/>
      <c r="AB621" s="301"/>
      <c r="AC621" s="301"/>
      <c r="AD621" s="301"/>
      <c r="AE621" s="301"/>
      <c r="AH621" s="327"/>
      <c r="AI621" s="306"/>
      <c r="AJ621" s="307"/>
      <c r="AK621" s="307"/>
      <c r="AL621" s="307"/>
      <c r="AM621" s="307"/>
      <c r="AN621" s="307"/>
      <c r="AO621" s="307"/>
      <c r="AP621" s="307"/>
      <c r="AQ621" s="307"/>
      <c r="AR621" s="307"/>
      <c r="AU621" s="306"/>
      <c r="AV621" s="306"/>
      <c r="AW621" s="306"/>
      <c r="AX621" s="307"/>
      <c r="AY621" s="307"/>
      <c r="AZ621" s="307"/>
      <c r="BA621" s="307"/>
      <c r="BB621" s="307"/>
      <c r="BC621" s="307"/>
      <c r="BD621" s="307"/>
      <c r="BE621" s="301"/>
      <c r="BG621" s="306"/>
      <c r="BH621" s="306"/>
      <c r="BI621" s="306"/>
      <c r="BJ621" s="307"/>
      <c r="BK621" s="307"/>
      <c r="BL621" s="307"/>
      <c r="BM621" s="307"/>
      <c r="BN621" s="307"/>
      <c r="BO621" s="307"/>
      <c r="BP621" s="307"/>
      <c r="BQ621" s="301"/>
    </row>
    <row r="622" spans="7:69" s="302" customFormat="1" ht="11.75" customHeight="1" x14ac:dyDescent="0.15">
      <c r="G622" s="300"/>
      <c r="H622" s="301"/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  <c r="Y622" s="301"/>
      <c r="Z622" s="301"/>
      <c r="AA622" s="301"/>
      <c r="AB622" s="301"/>
      <c r="AC622" s="301"/>
      <c r="AD622" s="301"/>
      <c r="AE622" s="301"/>
      <c r="AH622" s="306"/>
      <c r="AI622" s="306"/>
      <c r="AJ622" s="307"/>
      <c r="AK622" s="307"/>
      <c r="AL622" s="307"/>
      <c r="AM622" s="307"/>
      <c r="AN622" s="307"/>
      <c r="AO622" s="307"/>
      <c r="AP622" s="307"/>
      <c r="AQ622" s="307"/>
      <c r="AR622" s="307"/>
      <c r="AU622" s="306"/>
      <c r="AV622" s="306"/>
      <c r="AW622" s="306"/>
      <c r="AX622" s="307"/>
      <c r="AY622" s="307"/>
      <c r="AZ622" s="307"/>
      <c r="BA622" s="307"/>
      <c r="BB622" s="307"/>
      <c r="BC622" s="307"/>
      <c r="BD622" s="307"/>
      <c r="BE622" s="307"/>
      <c r="BG622" s="306"/>
      <c r="BH622" s="306"/>
      <c r="BI622" s="306"/>
      <c r="BJ622" s="307"/>
      <c r="BK622" s="307"/>
      <c r="BL622" s="307"/>
      <c r="BM622" s="307"/>
      <c r="BN622" s="307"/>
      <c r="BO622" s="307"/>
      <c r="BP622" s="307"/>
      <c r="BQ622" s="307"/>
    </row>
    <row r="623" spans="7:69" s="302" customFormat="1" ht="11.75" customHeight="1" x14ac:dyDescent="0.15">
      <c r="G623" s="300"/>
      <c r="H623" s="301"/>
      <c r="I623" s="301"/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  <c r="Y623" s="301"/>
      <c r="Z623" s="301"/>
      <c r="AA623" s="301"/>
      <c r="AB623" s="301"/>
      <c r="AC623" s="301"/>
      <c r="AD623" s="301"/>
      <c r="AE623" s="301"/>
      <c r="AH623" s="306"/>
      <c r="AI623" s="306"/>
      <c r="AJ623" s="307"/>
      <c r="AK623" s="307"/>
      <c r="AL623" s="307"/>
      <c r="AM623" s="307"/>
      <c r="AN623" s="307"/>
      <c r="AO623" s="307"/>
      <c r="AP623" s="307"/>
      <c r="AQ623" s="307"/>
      <c r="AR623" s="307"/>
      <c r="AU623" s="306"/>
      <c r="AV623" s="306"/>
      <c r="AW623" s="306"/>
      <c r="AX623" s="307"/>
      <c r="AY623" s="307"/>
      <c r="AZ623" s="307"/>
      <c r="BA623" s="307"/>
      <c r="BB623" s="307"/>
      <c r="BC623" s="307"/>
      <c r="BD623" s="307"/>
      <c r="BE623" s="307"/>
      <c r="BG623" s="306"/>
      <c r="BH623" s="306"/>
      <c r="BI623" s="306"/>
      <c r="BJ623" s="307"/>
      <c r="BK623" s="307"/>
      <c r="BL623" s="307"/>
      <c r="BM623" s="307"/>
      <c r="BN623" s="307"/>
      <c r="BO623" s="307"/>
      <c r="BP623" s="307"/>
      <c r="BQ623" s="307"/>
    </row>
    <row r="624" spans="7:69" s="302" customFormat="1" ht="11.75" customHeight="1" x14ac:dyDescent="0.15">
      <c r="G624" s="300"/>
      <c r="H624" s="301"/>
      <c r="I624" s="301"/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  <c r="Y624" s="301"/>
      <c r="Z624" s="301"/>
      <c r="AA624" s="301"/>
      <c r="AB624" s="301"/>
      <c r="AC624" s="301"/>
      <c r="AD624" s="301"/>
      <c r="AE624" s="301"/>
      <c r="AH624" s="306"/>
      <c r="AI624" s="306"/>
      <c r="AJ624" s="307"/>
      <c r="AK624" s="307"/>
      <c r="AL624" s="307"/>
      <c r="AM624" s="307"/>
      <c r="AN624" s="307"/>
      <c r="AO624" s="307"/>
      <c r="AP624" s="307"/>
      <c r="AQ624" s="307"/>
      <c r="AR624" s="307"/>
      <c r="AU624" s="306"/>
      <c r="AV624" s="306"/>
      <c r="AW624" s="307"/>
      <c r="AX624" s="307"/>
      <c r="AY624" s="307"/>
      <c r="AZ624" s="307"/>
      <c r="BA624" s="307"/>
      <c r="BB624" s="307"/>
      <c r="BC624" s="307"/>
      <c r="BD624" s="307"/>
      <c r="BE624" s="307"/>
      <c r="BG624" s="306"/>
      <c r="BH624" s="306"/>
      <c r="BI624" s="307"/>
      <c r="BJ624" s="307"/>
      <c r="BK624" s="307"/>
      <c r="BL624" s="307"/>
      <c r="BM624" s="307"/>
      <c r="BN624" s="307"/>
      <c r="BO624" s="307"/>
      <c r="BP624" s="307"/>
      <c r="BQ624" s="307"/>
    </row>
    <row r="625" spans="7:69" s="302" customFormat="1" ht="11.75" customHeight="1" x14ac:dyDescent="0.15">
      <c r="G625" s="300"/>
      <c r="H625" s="301"/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  <c r="Y625" s="301"/>
      <c r="Z625" s="301"/>
      <c r="AA625" s="301"/>
      <c r="AB625" s="301"/>
      <c r="AC625" s="301"/>
      <c r="AD625" s="301"/>
      <c r="AE625" s="301"/>
      <c r="AH625" s="306"/>
      <c r="AI625" s="306"/>
      <c r="AJ625" s="307"/>
      <c r="AK625" s="307"/>
      <c r="AL625" s="307"/>
      <c r="AM625" s="307"/>
      <c r="AN625" s="307"/>
      <c r="AO625" s="307"/>
      <c r="AP625" s="307"/>
      <c r="AQ625" s="307"/>
      <c r="AR625" s="307"/>
      <c r="AU625" s="306"/>
      <c r="AV625" s="306"/>
      <c r="AW625" s="307"/>
      <c r="AX625" s="307"/>
      <c r="AY625" s="307"/>
      <c r="AZ625" s="307"/>
      <c r="BA625" s="307"/>
      <c r="BB625" s="307"/>
      <c r="BC625" s="307"/>
      <c r="BD625" s="307"/>
      <c r="BE625" s="307"/>
      <c r="BG625" s="306"/>
      <c r="BH625" s="306"/>
      <c r="BI625" s="307"/>
      <c r="BJ625" s="307"/>
      <c r="BK625" s="307"/>
      <c r="BL625" s="307"/>
      <c r="BM625" s="307"/>
      <c r="BN625" s="307"/>
      <c r="BO625" s="307"/>
      <c r="BP625" s="307"/>
      <c r="BQ625" s="307"/>
    </row>
    <row r="626" spans="7:69" s="302" customFormat="1" ht="11.75" customHeight="1" x14ac:dyDescent="0.15">
      <c r="G626" s="300"/>
      <c r="H626" s="301"/>
      <c r="I626" s="301"/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  <c r="Y626" s="301"/>
      <c r="Z626" s="301"/>
      <c r="AA626" s="301"/>
      <c r="AB626" s="301"/>
      <c r="AC626" s="301"/>
      <c r="AD626" s="301"/>
      <c r="AE626" s="301"/>
      <c r="AH626" s="306"/>
      <c r="AI626" s="306"/>
      <c r="AJ626" s="307"/>
      <c r="AK626" s="307"/>
      <c r="AL626" s="307"/>
      <c r="AM626" s="307"/>
      <c r="AN626" s="307"/>
      <c r="AO626" s="307"/>
      <c r="AP626" s="307"/>
      <c r="AQ626" s="307"/>
      <c r="AR626" s="307"/>
      <c r="AU626" s="306"/>
      <c r="AV626" s="306"/>
      <c r="AW626" s="307"/>
      <c r="AX626" s="307"/>
      <c r="AY626" s="307"/>
      <c r="AZ626" s="307"/>
      <c r="BA626" s="307"/>
      <c r="BB626" s="307"/>
      <c r="BC626" s="307"/>
      <c r="BD626" s="307"/>
      <c r="BE626" s="307"/>
      <c r="BG626" s="306"/>
      <c r="BH626" s="306"/>
      <c r="BI626" s="307"/>
      <c r="BJ626" s="307"/>
      <c r="BK626" s="307"/>
      <c r="BL626" s="307"/>
      <c r="BM626" s="307"/>
      <c r="BN626" s="307"/>
      <c r="BO626" s="307"/>
      <c r="BP626" s="307"/>
      <c r="BQ626" s="307"/>
    </row>
    <row r="627" spans="7:69" s="302" customFormat="1" ht="11.75" customHeight="1" x14ac:dyDescent="0.15">
      <c r="G627" s="300"/>
      <c r="H627" s="301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  <c r="Y627" s="301"/>
      <c r="Z627" s="301"/>
      <c r="AA627" s="301"/>
      <c r="AB627" s="301"/>
      <c r="AC627" s="301"/>
      <c r="AD627" s="301"/>
      <c r="AE627" s="301"/>
      <c r="AH627" s="327"/>
      <c r="AI627" s="306"/>
      <c r="AJ627" s="307"/>
      <c r="AK627" s="307"/>
      <c r="AL627" s="307"/>
      <c r="AM627" s="307"/>
      <c r="AN627" s="307"/>
      <c r="AO627" s="307"/>
      <c r="AP627" s="307"/>
      <c r="AQ627" s="307"/>
      <c r="AR627" s="307"/>
      <c r="AT627" s="334"/>
      <c r="AU627" s="306"/>
      <c r="AV627" s="306"/>
      <c r="AW627" s="307"/>
      <c r="AX627" s="307"/>
      <c r="AY627" s="307"/>
      <c r="AZ627" s="307"/>
      <c r="BA627" s="307"/>
      <c r="BB627" s="307"/>
      <c r="BC627" s="307"/>
      <c r="BD627" s="307"/>
      <c r="BE627" s="307"/>
      <c r="BG627" s="306"/>
      <c r="BH627" s="306"/>
      <c r="BI627" s="307"/>
      <c r="BJ627" s="307"/>
      <c r="BK627" s="307"/>
      <c r="BL627" s="307"/>
      <c r="BM627" s="307"/>
      <c r="BN627" s="307"/>
      <c r="BO627" s="307"/>
      <c r="BP627" s="307"/>
      <c r="BQ627" s="307"/>
    </row>
    <row r="628" spans="7:69" s="302" customFormat="1" ht="11.75" customHeight="1" x14ac:dyDescent="0.15">
      <c r="G628" s="300"/>
      <c r="H628" s="301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  <c r="AA628" s="301"/>
      <c r="AB628" s="301"/>
      <c r="AC628" s="301"/>
      <c r="AD628" s="301"/>
      <c r="AE628" s="301"/>
      <c r="AH628" s="306"/>
      <c r="AI628" s="306"/>
      <c r="AJ628" s="307"/>
      <c r="AK628" s="307"/>
      <c r="AL628" s="307"/>
      <c r="AM628" s="307"/>
      <c r="AN628" s="307"/>
      <c r="AO628" s="307"/>
      <c r="AP628" s="307"/>
      <c r="AQ628" s="307"/>
      <c r="AR628" s="307"/>
      <c r="AT628" s="307"/>
      <c r="AU628" s="306"/>
      <c r="AV628" s="306"/>
      <c r="AW628" s="307"/>
      <c r="AX628" s="307"/>
      <c r="AY628" s="307"/>
      <c r="AZ628" s="307"/>
      <c r="BA628" s="307"/>
      <c r="BB628" s="307"/>
      <c r="BC628" s="307"/>
      <c r="BD628" s="307"/>
      <c r="BE628" s="307"/>
    </row>
    <row r="629" spans="7:69" s="302" customFormat="1" ht="11.75" customHeight="1" x14ac:dyDescent="0.15">
      <c r="G629" s="300"/>
      <c r="H629" s="301"/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  <c r="Y629" s="301"/>
      <c r="Z629" s="301"/>
      <c r="AA629" s="301"/>
      <c r="AB629" s="301"/>
      <c r="AC629" s="301"/>
      <c r="AD629" s="301"/>
      <c r="AE629" s="301"/>
      <c r="AH629" s="306"/>
      <c r="AI629" s="306"/>
      <c r="AJ629" s="307"/>
      <c r="AK629" s="307"/>
      <c r="AL629" s="307"/>
      <c r="AM629" s="307"/>
      <c r="AN629" s="307"/>
      <c r="AO629" s="307"/>
      <c r="AP629" s="307"/>
      <c r="AQ629" s="307"/>
      <c r="AR629" s="307"/>
      <c r="AT629" s="307"/>
      <c r="AU629" s="306"/>
      <c r="AV629" s="306"/>
      <c r="AW629" s="307"/>
      <c r="AX629" s="307"/>
      <c r="AY629" s="307"/>
      <c r="AZ629" s="307"/>
      <c r="BA629" s="307"/>
      <c r="BB629" s="307"/>
      <c r="BC629" s="307"/>
      <c r="BD629" s="307"/>
      <c r="BE629" s="307"/>
    </row>
    <row r="630" spans="7:69" s="302" customFormat="1" ht="11.75" customHeight="1" x14ac:dyDescent="0.15">
      <c r="G630" s="300"/>
      <c r="H630" s="301"/>
      <c r="I630" s="301"/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  <c r="Y630" s="301"/>
      <c r="Z630" s="301"/>
      <c r="AA630" s="301"/>
      <c r="AB630" s="301"/>
      <c r="AC630" s="301"/>
      <c r="AD630" s="301"/>
      <c r="AE630" s="301"/>
      <c r="AH630" s="306"/>
      <c r="AI630" s="306"/>
      <c r="AJ630" s="307"/>
      <c r="AK630" s="307"/>
      <c r="AL630" s="307"/>
      <c r="AM630" s="307"/>
      <c r="AN630" s="307"/>
      <c r="AO630" s="307"/>
      <c r="AP630" s="307"/>
      <c r="AQ630" s="307"/>
      <c r="AR630" s="307"/>
      <c r="AT630" s="307"/>
      <c r="AU630" s="306"/>
      <c r="AV630" s="306"/>
      <c r="AW630" s="307"/>
      <c r="AX630" s="307"/>
      <c r="AY630" s="307"/>
      <c r="AZ630" s="307"/>
      <c r="BA630" s="307"/>
      <c r="BB630" s="307"/>
      <c r="BC630" s="307"/>
      <c r="BD630" s="307"/>
      <c r="BE630" s="307"/>
    </row>
    <row r="631" spans="7:69" s="302" customFormat="1" ht="11.75" customHeight="1" x14ac:dyDescent="0.15">
      <c r="G631" s="300"/>
      <c r="H631" s="301"/>
      <c r="I631" s="301"/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  <c r="Y631" s="301"/>
      <c r="Z631" s="301"/>
      <c r="AA631" s="301"/>
      <c r="AB631" s="301"/>
      <c r="AC631" s="301"/>
      <c r="AD631" s="301"/>
      <c r="AE631" s="301"/>
      <c r="AH631" s="306"/>
      <c r="AI631" s="306"/>
      <c r="AJ631" s="307"/>
      <c r="AK631" s="307"/>
      <c r="AL631" s="307"/>
      <c r="AM631" s="307"/>
      <c r="AN631" s="307"/>
      <c r="AO631" s="307"/>
      <c r="AP631" s="307"/>
      <c r="AQ631" s="307"/>
      <c r="AR631" s="307"/>
      <c r="AT631" s="307"/>
      <c r="AU631" s="306"/>
      <c r="AV631" s="306"/>
      <c r="AW631" s="307"/>
      <c r="AX631" s="307"/>
      <c r="AY631" s="307"/>
      <c r="AZ631" s="307"/>
      <c r="BA631" s="307"/>
      <c r="BB631" s="307"/>
      <c r="BC631" s="307"/>
      <c r="BD631" s="307"/>
      <c r="BE631" s="307"/>
    </row>
    <row r="632" spans="7:69" s="302" customFormat="1" ht="11.75" customHeight="1" x14ac:dyDescent="0.15">
      <c r="G632" s="300"/>
      <c r="H632" s="301"/>
      <c r="I632" s="301"/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  <c r="Y632" s="301"/>
      <c r="Z632" s="301"/>
      <c r="AA632" s="301"/>
      <c r="AB632" s="301"/>
      <c r="AC632" s="301"/>
      <c r="AD632" s="301"/>
      <c r="AE632" s="301"/>
      <c r="AH632" s="306"/>
      <c r="AI632" s="306"/>
      <c r="AJ632" s="307"/>
      <c r="AK632" s="307"/>
      <c r="AL632" s="307"/>
      <c r="AM632" s="307"/>
      <c r="AN632" s="307"/>
      <c r="AO632" s="307"/>
      <c r="AP632" s="307"/>
      <c r="AQ632" s="307"/>
      <c r="AR632" s="307"/>
      <c r="AT632" s="307"/>
      <c r="AU632" s="306"/>
      <c r="AV632" s="306"/>
      <c r="AW632" s="307"/>
      <c r="AX632" s="307"/>
      <c r="AY632" s="307"/>
      <c r="AZ632" s="307"/>
      <c r="BA632" s="307"/>
      <c r="BB632" s="307"/>
      <c r="BC632" s="307"/>
      <c r="BD632" s="307"/>
      <c r="BE632" s="307"/>
    </row>
    <row r="633" spans="7:69" s="302" customFormat="1" ht="11.75" customHeight="1" x14ac:dyDescent="0.15">
      <c r="G633" s="300"/>
      <c r="H633" s="301"/>
      <c r="I633" s="301"/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  <c r="Y633" s="301"/>
      <c r="Z633" s="301"/>
      <c r="AA633" s="301"/>
      <c r="AB633" s="301"/>
      <c r="AC633" s="301"/>
      <c r="AD633" s="301"/>
      <c r="AE633" s="301"/>
      <c r="AH633" s="327"/>
      <c r="AI633" s="306"/>
      <c r="AJ633" s="307"/>
      <c r="AK633" s="307"/>
      <c r="AL633" s="307"/>
      <c r="AM633" s="307"/>
      <c r="AN633" s="307"/>
      <c r="AO633" s="307"/>
      <c r="AP633" s="307"/>
      <c r="AQ633" s="307"/>
      <c r="AR633" s="307"/>
      <c r="AT633" s="307"/>
      <c r="AU633" s="306"/>
      <c r="AV633" s="306"/>
      <c r="AW633" s="307"/>
      <c r="AX633" s="307"/>
      <c r="AY633" s="307"/>
      <c r="AZ633" s="307"/>
      <c r="BA633" s="307"/>
      <c r="BB633" s="307"/>
      <c r="BC633" s="307"/>
      <c r="BD633" s="307"/>
      <c r="BE633" s="307"/>
    </row>
    <row r="634" spans="7:69" s="302" customFormat="1" ht="11.75" customHeight="1" x14ac:dyDescent="0.15">
      <c r="G634" s="300"/>
      <c r="H634" s="301"/>
      <c r="I634" s="301"/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  <c r="Y634" s="301"/>
      <c r="Z634" s="301"/>
      <c r="AA634" s="301"/>
      <c r="AB634" s="301"/>
      <c r="AC634" s="301"/>
      <c r="AD634" s="301"/>
      <c r="AE634" s="301"/>
      <c r="AH634" s="306"/>
      <c r="AI634" s="306"/>
      <c r="AJ634" s="307"/>
      <c r="AK634" s="307"/>
      <c r="AL634" s="307"/>
      <c r="AM634" s="307"/>
      <c r="AN634" s="307"/>
      <c r="AO634" s="307"/>
      <c r="AP634" s="307"/>
      <c r="AQ634" s="307"/>
      <c r="AR634" s="307"/>
      <c r="AT634" s="334"/>
      <c r="AU634" s="306"/>
      <c r="AV634" s="306"/>
      <c r="AW634" s="307"/>
      <c r="AX634" s="307"/>
      <c r="AY634" s="307"/>
      <c r="AZ634" s="307"/>
      <c r="BA634" s="307"/>
      <c r="BB634" s="307"/>
      <c r="BC634" s="307"/>
      <c r="BD634" s="307"/>
      <c r="BE634" s="307"/>
    </row>
    <row r="635" spans="7:69" s="302" customFormat="1" ht="11.75" customHeight="1" x14ac:dyDescent="0.15">
      <c r="G635" s="300"/>
      <c r="H635" s="301"/>
      <c r="I635" s="301"/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  <c r="Y635" s="301"/>
      <c r="Z635" s="301"/>
      <c r="AA635" s="301"/>
      <c r="AB635" s="301"/>
      <c r="AC635" s="301"/>
      <c r="AD635" s="301"/>
      <c r="AE635" s="301"/>
      <c r="AH635" s="306"/>
      <c r="AI635" s="306"/>
      <c r="AJ635" s="307"/>
      <c r="AK635" s="307"/>
      <c r="AL635" s="307"/>
      <c r="AM635" s="307"/>
      <c r="AN635" s="307"/>
      <c r="AO635" s="307"/>
      <c r="AP635" s="307"/>
      <c r="AQ635" s="307"/>
      <c r="AR635" s="307"/>
      <c r="AT635" s="332"/>
      <c r="AU635" s="306"/>
      <c r="AV635" s="306"/>
      <c r="AW635" s="307"/>
      <c r="AX635" s="307"/>
      <c r="AY635" s="307"/>
      <c r="AZ635" s="307"/>
      <c r="BA635" s="307"/>
      <c r="BB635" s="307"/>
      <c r="BC635" s="307"/>
      <c r="BD635" s="307"/>
      <c r="BE635" s="307"/>
    </row>
    <row r="636" spans="7:69" s="302" customFormat="1" ht="11.75" customHeight="1" x14ac:dyDescent="0.15">
      <c r="G636" s="300"/>
      <c r="H636" s="301"/>
      <c r="I636" s="301"/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  <c r="Y636" s="301"/>
      <c r="Z636" s="301"/>
      <c r="AA636" s="301"/>
      <c r="AB636" s="301"/>
      <c r="AC636" s="301"/>
      <c r="AD636" s="301"/>
      <c r="AE636" s="301"/>
      <c r="AH636" s="306"/>
      <c r="AI636" s="306"/>
      <c r="AJ636" s="307"/>
      <c r="AK636" s="307"/>
      <c r="AL636" s="307"/>
      <c r="AM636" s="307"/>
      <c r="AN636" s="307"/>
      <c r="AO636" s="307"/>
      <c r="AP636" s="307"/>
      <c r="AQ636" s="307"/>
      <c r="AR636" s="307"/>
      <c r="AT636" s="332"/>
      <c r="AU636" s="306"/>
      <c r="AV636" s="306"/>
      <c r="AW636" s="307"/>
      <c r="AX636" s="307"/>
      <c r="AY636" s="307"/>
      <c r="AZ636" s="307"/>
      <c r="BA636" s="307"/>
      <c r="BB636" s="307"/>
      <c r="BC636" s="307"/>
      <c r="BD636" s="307"/>
      <c r="BE636" s="307"/>
    </row>
    <row r="637" spans="7:69" s="302" customFormat="1" ht="11.75" customHeight="1" x14ac:dyDescent="0.15">
      <c r="G637" s="300"/>
      <c r="H637" s="301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  <c r="Y637" s="301"/>
      <c r="Z637" s="301"/>
      <c r="AA637" s="301"/>
      <c r="AB637" s="301"/>
      <c r="AC637" s="301"/>
      <c r="AD637" s="301"/>
      <c r="AE637" s="301"/>
      <c r="AH637" s="306"/>
      <c r="AI637" s="306"/>
      <c r="AJ637" s="307"/>
      <c r="AK637" s="307"/>
      <c r="AL637" s="307"/>
      <c r="AM637" s="307"/>
      <c r="AN637" s="307"/>
      <c r="AO637" s="307"/>
      <c r="AP637" s="307"/>
      <c r="AQ637" s="307"/>
      <c r="AR637" s="307"/>
      <c r="AT637" s="332"/>
      <c r="AU637" s="306"/>
      <c r="AV637" s="306"/>
      <c r="AW637" s="307"/>
      <c r="AX637" s="307"/>
      <c r="AY637" s="307"/>
      <c r="AZ637" s="307"/>
      <c r="BA637" s="307"/>
      <c r="BB637" s="307"/>
      <c r="BC637" s="307"/>
      <c r="BD637" s="307"/>
      <c r="BE637" s="307"/>
    </row>
    <row r="638" spans="7:69" s="302" customFormat="1" ht="11.75" customHeight="1" x14ac:dyDescent="0.15">
      <c r="G638" s="300"/>
      <c r="H638" s="301"/>
      <c r="I638" s="301"/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  <c r="Y638" s="301"/>
      <c r="Z638" s="301"/>
      <c r="AA638" s="301"/>
      <c r="AB638" s="301"/>
      <c r="AC638" s="301"/>
      <c r="AD638" s="301"/>
      <c r="AE638" s="301"/>
      <c r="AH638" s="306"/>
      <c r="AI638" s="306"/>
      <c r="AJ638" s="307"/>
      <c r="AK638" s="307"/>
      <c r="AL638" s="307"/>
      <c r="AM638" s="307"/>
      <c r="AN638" s="307"/>
      <c r="AO638" s="307"/>
      <c r="AP638" s="307"/>
      <c r="AQ638" s="307"/>
      <c r="AR638" s="307"/>
      <c r="AT638" s="332"/>
      <c r="AU638" s="306"/>
      <c r="AV638" s="306"/>
      <c r="AW638" s="307"/>
      <c r="AX638" s="307"/>
      <c r="AY638" s="307"/>
      <c r="AZ638" s="307"/>
      <c r="BA638" s="307"/>
      <c r="BB638" s="307"/>
      <c r="BC638" s="307"/>
      <c r="BD638" s="307"/>
      <c r="BE638" s="307"/>
    </row>
    <row r="639" spans="7:69" s="302" customFormat="1" ht="11.75" customHeight="1" x14ac:dyDescent="0.15">
      <c r="G639" s="300"/>
      <c r="H639" s="301"/>
      <c r="I639" s="301"/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  <c r="Y639" s="301"/>
      <c r="Z639" s="301"/>
      <c r="AA639" s="301"/>
      <c r="AB639" s="301"/>
      <c r="AC639" s="301"/>
      <c r="AD639" s="301"/>
      <c r="AE639" s="301"/>
      <c r="AH639" s="327"/>
      <c r="AI639" s="306"/>
      <c r="AJ639" s="307"/>
      <c r="AK639" s="307"/>
      <c r="AL639" s="307"/>
      <c r="AM639" s="307"/>
      <c r="AN639" s="307"/>
      <c r="AO639" s="307"/>
      <c r="AP639" s="307"/>
      <c r="AQ639" s="307"/>
      <c r="AR639" s="307"/>
      <c r="AT639" s="332"/>
      <c r="AU639" s="306"/>
      <c r="AV639" s="306"/>
      <c r="AW639" s="307"/>
      <c r="AX639" s="307"/>
      <c r="AY639" s="307"/>
      <c r="AZ639" s="307"/>
      <c r="BA639" s="307"/>
      <c r="BB639" s="307"/>
      <c r="BC639" s="307"/>
      <c r="BD639" s="307"/>
      <c r="BE639" s="307"/>
    </row>
    <row r="640" spans="7:69" s="302" customFormat="1" ht="11.75" customHeight="1" x14ac:dyDescent="0.15">
      <c r="G640" s="300"/>
      <c r="H640" s="301"/>
      <c r="I640" s="301"/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  <c r="Y640" s="301"/>
      <c r="Z640" s="301"/>
      <c r="AA640" s="301"/>
      <c r="AB640" s="301"/>
      <c r="AC640" s="301"/>
      <c r="AD640" s="301"/>
      <c r="AE640" s="301"/>
      <c r="AH640" s="306"/>
      <c r="AI640" s="306"/>
      <c r="AJ640" s="307"/>
      <c r="AK640" s="307"/>
      <c r="AL640" s="307"/>
      <c r="AM640" s="307"/>
      <c r="AN640" s="307"/>
      <c r="AO640" s="307"/>
      <c r="AP640" s="307"/>
      <c r="AQ640" s="307"/>
      <c r="AR640" s="307"/>
      <c r="AT640" s="332"/>
      <c r="AU640" s="306"/>
      <c r="AV640" s="306"/>
      <c r="AW640" s="307"/>
      <c r="AX640" s="307"/>
      <c r="AY640" s="307"/>
      <c r="AZ640" s="307"/>
      <c r="BA640" s="307"/>
      <c r="BB640" s="307"/>
      <c r="BC640" s="307"/>
      <c r="BD640" s="307"/>
      <c r="BE640" s="307"/>
    </row>
    <row r="641" spans="7:57" s="302" customFormat="1" ht="11.75" customHeight="1" x14ac:dyDescent="0.15">
      <c r="G641" s="300"/>
      <c r="H641" s="301"/>
      <c r="I641" s="301"/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  <c r="Y641" s="301"/>
      <c r="Z641" s="301"/>
      <c r="AA641" s="301"/>
      <c r="AB641" s="301"/>
      <c r="AC641" s="301"/>
      <c r="AD641" s="301"/>
      <c r="AE641" s="301"/>
      <c r="AH641" s="306"/>
      <c r="AI641" s="306"/>
      <c r="AJ641" s="307"/>
      <c r="AK641" s="307"/>
      <c r="AL641" s="307"/>
      <c r="AM641" s="307"/>
      <c r="AN641" s="307"/>
      <c r="AO641" s="307"/>
      <c r="AP641" s="307"/>
      <c r="AQ641" s="307"/>
      <c r="AR641" s="307"/>
      <c r="AU641" s="306"/>
      <c r="AV641" s="306"/>
      <c r="AW641" s="306"/>
      <c r="AX641" s="306"/>
      <c r="AY641" s="306"/>
      <c r="AZ641" s="306"/>
      <c r="BA641" s="306"/>
      <c r="BB641" s="306"/>
      <c r="BC641" s="306"/>
      <c r="BD641" s="306"/>
    </row>
    <row r="642" spans="7:57" s="302" customFormat="1" ht="11.75" customHeight="1" x14ac:dyDescent="0.15">
      <c r="G642" s="300"/>
      <c r="H642" s="301"/>
      <c r="I642" s="301"/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  <c r="Y642" s="301"/>
      <c r="Z642" s="301"/>
      <c r="AA642" s="301"/>
      <c r="AB642" s="301"/>
      <c r="AC642" s="301"/>
      <c r="AD642" s="301"/>
      <c r="AE642" s="301"/>
      <c r="AH642" s="306"/>
      <c r="AI642" s="306"/>
      <c r="AJ642" s="307"/>
      <c r="AK642" s="307"/>
      <c r="AL642" s="307"/>
      <c r="AM642" s="307"/>
      <c r="AN642" s="307"/>
      <c r="AO642" s="307"/>
      <c r="AP642" s="307"/>
      <c r="AQ642" s="307"/>
      <c r="AR642" s="307"/>
      <c r="AU642" s="306"/>
      <c r="AV642" s="306"/>
      <c r="AW642" s="306"/>
      <c r="AX642" s="306"/>
      <c r="AY642" s="306"/>
      <c r="AZ642" s="306"/>
      <c r="BA642" s="306"/>
      <c r="BB642" s="306"/>
      <c r="BC642" s="306"/>
      <c r="BD642" s="306"/>
    </row>
    <row r="643" spans="7:57" s="302" customFormat="1" ht="11.75" customHeight="1" x14ac:dyDescent="0.15">
      <c r="G643" s="300"/>
      <c r="H643" s="301"/>
      <c r="I643" s="301"/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  <c r="Y643" s="301"/>
      <c r="Z643" s="301"/>
      <c r="AA643" s="301"/>
      <c r="AB643" s="301"/>
      <c r="AC643" s="301"/>
      <c r="AD643" s="301"/>
      <c r="AE643" s="301"/>
      <c r="AH643" s="306"/>
      <c r="AI643" s="306"/>
      <c r="AJ643" s="307"/>
      <c r="AK643" s="307"/>
      <c r="AL643" s="307"/>
      <c r="AM643" s="307"/>
      <c r="AN643" s="307"/>
      <c r="AO643" s="307"/>
      <c r="AP643" s="307"/>
      <c r="AQ643" s="307"/>
      <c r="AR643" s="307"/>
      <c r="AU643" s="317"/>
      <c r="AV643" s="306"/>
      <c r="AW643" s="306"/>
      <c r="AX643" s="306"/>
      <c r="AY643" s="306"/>
      <c r="AZ643" s="306"/>
      <c r="BA643" s="306"/>
      <c r="BB643" s="306"/>
      <c r="BC643" s="306"/>
      <c r="BD643" s="306"/>
    </row>
    <row r="644" spans="7:57" s="302" customFormat="1" ht="11.75" customHeight="1" x14ac:dyDescent="0.15">
      <c r="G644" s="300"/>
      <c r="H644" s="301"/>
      <c r="I644" s="301"/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  <c r="Y644" s="301"/>
      <c r="Z644" s="301"/>
      <c r="AA644" s="301"/>
      <c r="AB644" s="301"/>
      <c r="AC644" s="301"/>
      <c r="AD644" s="301"/>
      <c r="AE644" s="301"/>
      <c r="AH644" s="306"/>
      <c r="AI644" s="306"/>
      <c r="AJ644" s="307"/>
      <c r="AK644" s="307"/>
      <c r="AL644" s="307"/>
      <c r="AM644" s="307"/>
      <c r="AN644" s="307"/>
      <c r="AO644" s="307"/>
      <c r="AP644" s="307"/>
      <c r="AQ644" s="307"/>
      <c r="AR644" s="307"/>
      <c r="AU644" s="306"/>
      <c r="AV644" s="306"/>
      <c r="AW644" s="306"/>
      <c r="AX644" s="306"/>
      <c r="AY644" s="306"/>
      <c r="AZ644" s="306"/>
      <c r="BA644" s="306"/>
      <c r="BB644" s="306"/>
      <c r="BC644" s="306"/>
      <c r="BD644" s="306"/>
    </row>
    <row r="645" spans="7:57" s="302" customFormat="1" ht="11.75" customHeight="1" x14ac:dyDescent="0.15">
      <c r="G645" s="300"/>
      <c r="H645" s="301"/>
      <c r="I645" s="301"/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  <c r="Y645" s="301"/>
      <c r="Z645" s="301"/>
      <c r="AA645" s="301"/>
      <c r="AB645" s="301"/>
      <c r="AC645" s="301"/>
      <c r="AD645" s="301"/>
      <c r="AE645" s="301"/>
      <c r="AH645" s="327"/>
      <c r="AI645" s="306"/>
      <c r="AJ645" s="307"/>
      <c r="AK645" s="307"/>
      <c r="AL645" s="307"/>
      <c r="AM645" s="307"/>
      <c r="AN645" s="307"/>
      <c r="AO645" s="307"/>
      <c r="AP645" s="307"/>
      <c r="AQ645" s="307"/>
      <c r="AR645" s="307"/>
      <c r="AU645" s="317"/>
      <c r="AV645" s="306"/>
      <c r="AW645" s="307"/>
      <c r="AX645" s="307"/>
      <c r="AY645" s="307"/>
      <c r="AZ645" s="307"/>
      <c r="BA645" s="307"/>
      <c r="BB645" s="307"/>
      <c r="BC645" s="307"/>
      <c r="BD645" s="307"/>
      <c r="BE645" s="301"/>
    </row>
    <row r="646" spans="7:57" s="302" customFormat="1" ht="11.75" customHeight="1" x14ac:dyDescent="0.15">
      <c r="G646" s="300"/>
      <c r="H646" s="301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  <c r="Y646" s="301"/>
      <c r="Z646" s="301"/>
      <c r="AA646" s="301"/>
      <c r="AB646" s="301"/>
      <c r="AC646" s="301"/>
      <c r="AD646" s="301"/>
      <c r="AE646" s="301"/>
      <c r="AH646" s="306"/>
      <c r="AI646" s="306"/>
      <c r="AJ646" s="307"/>
      <c r="AK646" s="307"/>
      <c r="AL646" s="307"/>
      <c r="AM646" s="307"/>
      <c r="AN646" s="307"/>
      <c r="AO646" s="307"/>
      <c r="AP646" s="307"/>
      <c r="AQ646" s="307"/>
      <c r="AR646" s="307"/>
      <c r="AU646" s="306"/>
      <c r="AV646" s="306"/>
      <c r="AW646" s="307"/>
      <c r="AX646" s="307"/>
      <c r="AY646" s="307"/>
      <c r="AZ646" s="307"/>
      <c r="BA646" s="307"/>
      <c r="BB646" s="307"/>
      <c r="BC646" s="307"/>
      <c r="BD646" s="307"/>
      <c r="BE646" s="307"/>
    </row>
    <row r="647" spans="7:57" s="302" customFormat="1" ht="11.75" customHeight="1" x14ac:dyDescent="0.15">
      <c r="G647" s="300"/>
      <c r="H647" s="301"/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  <c r="Y647" s="301"/>
      <c r="Z647" s="301"/>
      <c r="AA647" s="301"/>
      <c r="AB647" s="301"/>
      <c r="AC647" s="301"/>
      <c r="AD647" s="301"/>
      <c r="AE647" s="301"/>
      <c r="AH647" s="306"/>
      <c r="AI647" s="306"/>
      <c r="AJ647" s="307"/>
      <c r="AK647" s="307"/>
      <c r="AL647" s="307"/>
      <c r="AM647" s="307"/>
      <c r="AN647" s="307"/>
      <c r="AO647" s="307"/>
      <c r="AP647" s="307"/>
      <c r="AQ647" s="307"/>
      <c r="AR647" s="307"/>
      <c r="AU647" s="306"/>
      <c r="AV647" s="306"/>
      <c r="AW647" s="307"/>
      <c r="AX647" s="307"/>
      <c r="AY647" s="307"/>
      <c r="AZ647" s="307"/>
      <c r="BA647" s="307"/>
      <c r="BB647" s="307"/>
      <c r="BC647" s="307"/>
      <c r="BD647" s="307"/>
      <c r="BE647" s="307"/>
    </row>
    <row r="648" spans="7:57" s="302" customFormat="1" ht="11.75" customHeight="1" x14ac:dyDescent="0.15">
      <c r="G648" s="300"/>
      <c r="H648" s="301"/>
      <c r="I648" s="301"/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  <c r="Y648" s="301"/>
      <c r="Z648" s="301"/>
      <c r="AA648" s="301"/>
      <c r="AB648" s="301"/>
      <c r="AC648" s="301"/>
      <c r="AD648" s="301"/>
      <c r="AE648" s="301"/>
      <c r="AH648" s="306"/>
      <c r="AI648" s="306"/>
      <c r="AJ648" s="307"/>
      <c r="AK648" s="316"/>
      <c r="AL648" s="330"/>
      <c r="AM648" s="330"/>
      <c r="AN648" s="330"/>
      <c r="AO648" s="330"/>
      <c r="AP648" s="330"/>
      <c r="AQ648" s="330"/>
      <c r="AR648" s="330"/>
      <c r="AU648" s="306"/>
      <c r="AV648" s="306"/>
      <c r="AW648" s="307"/>
      <c r="AX648" s="307"/>
      <c r="AY648" s="307"/>
      <c r="AZ648" s="307"/>
      <c r="BA648" s="307"/>
      <c r="BB648" s="307"/>
      <c r="BC648" s="307"/>
      <c r="BD648" s="307"/>
      <c r="BE648" s="307"/>
    </row>
    <row r="649" spans="7:57" s="302" customFormat="1" ht="11.75" customHeight="1" x14ac:dyDescent="0.15">
      <c r="G649" s="300"/>
      <c r="H649" s="301"/>
      <c r="I649" s="301"/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  <c r="Y649" s="301"/>
      <c r="Z649" s="301"/>
      <c r="AA649" s="301"/>
      <c r="AB649" s="301"/>
      <c r="AC649" s="301"/>
      <c r="AD649" s="301"/>
      <c r="AE649" s="301"/>
      <c r="AH649" s="306"/>
      <c r="AI649" s="306"/>
      <c r="AJ649" s="307"/>
      <c r="AK649" s="307"/>
      <c r="AL649" s="307"/>
      <c r="AM649" s="307"/>
      <c r="AN649" s="307"/>
      <c r="AO649" s="307"/>
      <c r="AP649" s="307"/>
      <c r="AQ649" s="307"/>
      <c r="AR649" s="307"/>
      <c r="AU649" s="306"/>
      <c r="AV649" s="306"/>
      <c r="AW649" s="307"/>
      <c r="AX649" s="307"/>
      <c r="AY649" s="307"/>
      <c r="AZ649" s="307"/>
      <c r="BA649" s="307"/>
      <c r="BB649" s="307"/>
      <c r="BC649" s="307"/>
      <c r="BD649" s="307"/>
      <c r="BE649" s="307"/>
    </row>
    <row r="650" spans="7:57" s="302" customFormat="1" ht="11.75" customHeight="1" x14ac:dyDescent="0.15">
      <c r="G650" s="300"/>
      <c r="H650" s="301"/>
      <c r="I650" s="301"/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  <c r="Y650" s="301"/>
      <c r="Z650" s="301"/>
      <c r="AA650" s="301"/>
      <c r="AB650" s="301"/>
      <c r="AC650" s="301"/>
      <c r="AD650" s="301"/>
      <c r="AE650" s="301"/>
      <c r="AH650" s="306"/>
      <c r="AI650" s="306"/>
      <c r="AJ650" s="307"/>
      <c r="AK650" s="307"/>
      <c r="AL650" s="307"/>
      <c r="AM650" s="307"/>
      <c r="AN650" s="307"/>
      <c r="AO650" s="307"/>
      <c r="AP650" s="307"/>
      <c r="AQ650" s="307"/>
      <c r="AR650" s="307"/>
      <c r="AU650" s="306"/>
      <c r="AV650" s="306"/>
      <c r="AW650" s="307"/>
      <c r="AX650" s="307"/>
      <c r="AY650" s="307"/>
      <c r="AZ650" s="307"/>
      <c r="BA650" s="307"/>
      <c r="BB650" s="307"/>
      <c r="BC650" s="307"/>
      <c r="BD650" s="307"/>
      <c r="BE650" s="307"/>
    </row>
    <row r="651" spans="7:57" s="302" customFormat="1" ht="11.75" customHeight="1" x14ac:dyDescent="0.15">
      <c r="G651" s="300"/>
      <c r="H651" s="301"/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  <c r="Y651" s="301"/>
      <c r="Z651" s="301"/>
      <c r="AA651" s="301"/>
      <c r="AB651" s="301"/>
      <c r="AC651" s="301"/>
      <c r="AD651" s="301"/>
      <c r="AE651" s="301"/>
      <c r="AH651" s="327"/>
      <c r="AI651" s="306"/>
      <c r="AJ651" s="307"/>
      <c r="AK651" s="307"/>
      <c r="AL651" s="307"/>
      <c r="AM651" s="307"/>
      <c r="AN651" s="307"/>
      <c r="AO651" s="307"/>
      <c r="AP651" s="307"/>
      <c r="AQ651" s="307"/>
      <c r="AR651" s="307"/>
      <c r="AU651" s="327"/>
      <c r="AV651" s="306"/>
      <c r="AW651" s="307"/>
      <c r="AX651" s="307"/>
      <c r="AY651" s="307"/>
      <c r="AZ651" s="307"/>
      <c r="BA651" s="307"/>
      <c r="BB651" s="307"/>
      <c r="BC651" s="307"/>
      <c r="BD651" s="307"/>
      <c r="BE651" s="307"/>
    </row>
    <row r="652" spans="7:57" s="302" customFormat="1" ht="11.75" customHeight="1" x14ac:dyDescent="0.15">
      <c r="G652" s="300"/>
      <c r="H652" s="301"/>
      <c r="I652" s="301"/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  <c r="Y652" s="301"/>
      <c r="Z652" s="301"/>
      <c r="AA652" s="301"/>
      <c r="AB652" s="301"/>
      <c r="AC652" s="301"/>
      <c r="AD652" s="301"/>
      <c r="AE652" s="301"/>
      <c r="AH652" s="306"/>
      <c r="AI652" s="306"/>
      <c r="AJ652" s="307"/>
      <c r="AK652" s="307"/>
      <c r="AL652" s="307"/>
      <c r="AM652" s="307"/>
      <c r="AN652" s="307"/>
      <c r="AO652" s="307"/>
      <c r="AP652" s="307"/>
      <c r="AQ652" s="307"/>
      <c r="AR652" s="307"/>
      <c r="AU652" s="306"/>
      <c r="AV652" s="306"/>
      <c r="AW652" s="307"/>
      <c r="AX652" s="307"/>
      <c r="AY652" s="307"/>
      <c r="AZ652" s="307"/>
      <c r="BA652" s="307"/>
      <c r="BB652" s="307"/>
      <c r="BC652" s="307"/>
      <c r="BD652" s="307"/>
      <c r="BE652" s="307"/>
    </row>
    <row r="653" spans="7:57" s="302" customFormat="1" ht="11.75" customHeight="1" x14ac:dyDescent="0.15">
      <c r="G653" s="300"/>
      <c r="H653" s="301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  <c r="Y653" s="301"/>
      <c r="Z653" s="301"/>
      <c r="AA653" s="301"/>
      <c r="AB653" s="301"/>
      <c r="AC653" s="301"/>
      <c r="AD653" s="301"/>
      <c r="AE653" s="301"/>
      <c r="AH653" s="306"/>
      <c r="AI653" s="306"/>
      <c r="AJ653" s="307"/>
      <c r="AK653" s="307"/>
      <c r="AL653" s="307"/>
      <c r="AM653" s="307"/>
      <c r="AN653" s="307"/>
      <c r="AO653" s="307"/>
      <c r="AP653" s="307"/>
      <c r="AQ653" s="307"/>
      <c r="AR653" s="307"/>
      <c r="AU653" s="306"/>
      <c r="AV653" s="306"/>
      <c r="AW653" s="307"/>
      <c r="AX653" s="307"/>
      <c r="AY653" s="307"/>
      <c r="AZ653" s="307"/>
      <c r="BA653" s="307"/>
      <c r="BB653" s="307"/>
      <c r="BC653" s="307"/>
      <c r="BD653" s="307"/>
      <c r="BE653" s="307"/>
    </row>
    <row r="654" spans="7:57" s="302" customFormat="1" ht="11.75" customHeight="1" x14ac:dyDescent="0.15">
      <c r="G654" s="300"/>
      <c r="H654" s="301"/>
      <c r="I654" s="301"/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  <c r="Y654" s="301"/>
      <c r="Z654" s="301"/>
      <c r="AA654" s="301"/>
      <c r="AB654" s="301"/>
      <c r="AC654" s="301"/>
      <c r="AD654" s="301"/>
      <c r="AE654" s="301"/>
      <c r="AH654" s="306"/>
      <c r="AI654" s="306"/>
      <c r="AJ654" s="307"/>
      <c r="AK654" s="330"/>
      <c r="AL654" s="330"/>
      <c r="AM654" s="330"/>
      <c r="AN654" s="330"/>
      <c r="AO654" s="330"/>
      <c r="AP654" s="330"/>
      <c r="AQ654" s="330"/>
      <c r="AR654" s="330"/>
      <c r="AU654" s="306"/>
      <c r="AV654" s="306"/>
      <c r="AW654" s="307"/>
      <c r="AX654" s="307"/>
      <c r="AY654" s="307"/>
      <c r="AZ654" s="307"/>
      <c r="BA654" s="307"/>
      <c r="BB654" s="307"/>
      <c r="BC654" s="307"/>
      <c r="BD654" s="307"/>
      <c r="BE654" s="307"/>
    </row>
    <row r="655" spans="7:57" s="302" customFormat="1" ht="11.75" customHeight="1" x14ac:dyDescent="0.15">
      <c r="G655" s="300"/>
      <c r="H655" s="301"/>
      <c r="I655" s="301"/>
      <c r="J655" s="301"/>
      <c r="K655" s="301"/>
      <c r="L655" s="301"/>
      <c r="M655" s="301"/>
      <c r="N655" s="301"/>
      <c r="O655" s="301"/>
      <c r="P655" s="301"/>
      <c r="Q655" s="301"/>
      <c r="R655" s="301"/>
      <c r="S655" s="301"/>
      <c r="T655" s="301"/>
      <c r="U655" s="301"/>
      <c r="V655" s="301"/>
      <c r="W655" s="301"/>
      <c r="X655" s="301"/>
      <c r="Y655" s="301"/>
      <c r="Z655" s="301"/>
      <c r="AA655" s="301"/>
      <c r="AB655" s="301"/>
      <c r="AC655" s="301"/>
      <c r="AD655" s="301"/>
      <c r="AE655" s="301"/>
      <c r="AH655" s="306"/>
      <c r="AI655" s="306"/>
      <c r="AJ655" s="307"/>
      <c r="AK655" s="307"/>
      <c r="AL655" s="307"/>
      <c r="AM655" s="307"/>
      <c r="AN655" s="307"/>
      <c r="AO655" s="307"/>
      <c r="AP655" s="307"/>
      <c r="AQ655" s="307"/>
      <c r="AR655" s="307"/>
      <c r="AU655" s="306"/>
      <c r="AV655" s="306"/>
      <c r="AW655" s="307"/>
      <c r="AX655" s="307"/>
      <c r="AY655" s="307"/>
      <c r="AZ655" s="307"/>
      <c r="BA655" s="307"/>
      <c r="BB655" s="307"/>
      <c r="BC655" s="307"/>
      <c r="BD655" s="307"/>
      <c r="BE655" s="307"/>
    </row>
    <row r="656" spans="7:57" s="302" customFormat="1" ht="11.75" customHeight="1" x14ac:dyDescent="0.15">
      <c r="G656" s="300"/>
      <c r="H656" s="301"/>
      <c r="I656" s="301"/>
      <c r="J656" s="301"/>
      <c r="K656" s="301"/>
      <c r="L656" s="301"/>
      <c r="M656" s="301"/>
      <c r="N656" s="301"/>
      <c r="O656" s="301"/>
      <c r="P656" s="301"/>
      <c r="Q656" s="301"/>
      <c r="R656" s="301"/>
      <c r="S656" s="301"/>
      <c r="T656" s="301"/>
      <c r="U656" s="301"/>
      <c r="V656" s="301"/>
      <c r="W656" s="301"/>
      <c r="X656" s="301"/>
      <c r="Y656" s="301"/>
      <c r="Z656" s="301"/>
      <c r="AA656" s="301"/>
      <c r="AB656" s="301"/>
      <c r="AC656" s="301"/>
      <c r="AD656" s="301"/>
      <c r="AE656" s="301"/>
      <c r="AH656" s="306"/>
      <c r="AI656" s="306"/>
      <c r="AJ656" s="307"/>
      <c r="AK656" s="307"/>
      <c r="AL656" s="307"/>
      <c r="AM656" s="307"/>
      <c r="AN656" s="307"/>
      <c r="AO656" s="307"/>
      <c r="AP656" s="307"/>
      <c r="AQ656" s="307"/>
      <c r="AR656" s="307"/>
      <c r="AU656" s="306"/>
      <c r="AV656" s="306"/>
      <c r="AW656" s="307"/>
      <c r="AX656" s="307"/>
      <c r="AY656" s="307"/>
      <c r="AZ656" s="307"/>
      <c r="BA656" s="307"/>
      <c r="BB656" s="307"/>
      <c r="BC656" s="307"/>
      <c r="BD656" s="307"/>
      <c r="BE656" s="307"/>
    </row>
    <row r="657" spans="7:57" s="302" customFormat="1" ht="11.75" customHeight="1" x14ac:dyDescent="0.15">
      <c r="G657" s="300"/>
      <c r="H657" s="301"/>
      <c r="I657" s="301"/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  <c r="Y657" s="301"/>
      <c r="Z657" s="301"/>
      <c r="AA657" s="301"/>
      <c r="AB657" s="301"/>
      <c r="AC657" s="301"/>
      <c r="AD657" s="301"/>
      <c r="AE657" s="301"/>
      <c r="AH657" s="327"/>
      <c r="AI657" s="306"/>
      <c r="AJ657" s="307"/>
      <c r="AK657" s="307"/>
      <c r="AL657" s="307"/>
      <c r="AM657" s="307"/>
      <c r="AN657" s="307"/>
      <c r="AO657" s="307"/>
      <c r="AP657" s="307"/>
      <c r="AQ657" s="307"/>
      <c r="AR657" s="307"/>
      <c r="AU657" s="327"/>
      <c r="AV657" s="306"/>
      <c r="AW657" s="307"/>
      <c r="AX657" s="307"/>
      <c r="AY657" s="307"/>
      <c r="AZ657" s="307"/>
      <c r="BA657" s="307"/>
      <c r="BB657" s="307"/>
      <c r="BC657" s="307"/>
      <c r="BD657" s="307"/>
      <c r="BE657" s="307"/>
    </row>
    <row r="658" spans="7:57" s="302" customFormat="1" ht="11.75" customHeight="1" x14ac:dyDescent="0.15">
      <c r="G658" s="300"/>
      <c r="H658" s="301"/>
      <c r="I658" s="301"/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  <c r="Y658" s="301"/>
      <c r="Z658" s="301"/>
      <c r="AA658" s="301"/>
      <c r="AB658" s="301"/>
      <c r="AC658" s="301"/>
      <c r="AD658" s="301"/>
      <c r="AE658" s="301"/>
      <c r="AH658" s="306"/>
      <c r="AI658" s="306"/>
      <c r="AJ658" s="307"/>
      <c r="AK658" s="307"/>
      <c r="AL658" s="307"/>
      <c r="AM658" s="307"/>
      <c r="AN658" s="307"/>
      <c r="AO658" s="307"/>
      <c r="AP658" s="307"/>
      <c r="AQ658" s="307"/>
      <c r="AR658" s="307"/>
      <c r="AU658" s="306"/>
      <c r="AV658" s="306"/>
      <c r="AW658" s="307"/>
      <c r="AX658" s="307"/>
      <c r="AY658" s="307"/>
      <c r="AZ658" s="307"/>
      <c r="BA658" s="307"/>
      <c r="BB658" s="307"/>
      <c r="BC658" s="307"/>
      <c r="BD658" s="307"/>
      <c r="BE658" s="307"/>
    </row>
    <row r="659" spans="7:57" s="302" customFormat="1" ht="11.75" customHeight="1" x14ac:dyDescent="0.15">
      <c r="G659" s="300"/>
      <c r="H659" s="301"/>
      <c r="I659" s="301"/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  <c r="Y659" s="301"/>
      <c r="Z659" s="301"/>
      <c r="AA659" s="301"/>
      <c r="AB659" s="301"/>
      <c r="AC659" s="301"/>
      <c r="AD659" s="301"/>
      <c r="AE659" s="301"/>
      <c r="AH659" s="306"/>
      <c r="AI659" s="306"/>
      <c r="AJ659" s="307"/>
      <c r="AK659" s="307"/>
      <c r="AL659" s="307"/>
      <c r="AM659" s="307"/>
      <c r="AN659" s="307"/>
      <c r="AO659" s="307"/>
      <c r="AP659" s="307"/>
      <c r="AQ659" s="307"/>
      <c r="AR659" s="307"/>
      <c r="AU659" s="306"/>
      <c r="AV659" s="306"/>
      <c r="AW659" s="307"/>
      <c r="AX659" s="307"/>
      <c r="AY659" s="307"/>
      <c r="AZ659" s="307"/>
      <c r="BA659" s="307"/>
      <c r="BB659" s="307"/>
      <c r="BC659" s="307"/>
      <c r="BD659" s="307"/>
      <c r="BE659" s="307"/>
    </row>
    <row r="660" spans="7:57" s="302" customFormat="1" ht="11.75" customHeight="1" x14ac:dyDescent="0.15">
      <c r="G660" s="300"/>
      <c r="H660" s="301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  <c r="Y660" s="301"/>
      <c r="Z660" s="301"/>
      <c r="AA660" s="301"/>
      <c r="AB660" s="301"/>
      <c r="AC660" s="301"/>
      <c r="AD660" s="301"/>
      <c r="AE660" s="301"/>
      <c r="AH660" s="306"/>
      <c r="AI660" s="306"/>
      <c r="AJ660" s="307"/>
      <c r="AK660" s="330"/>
      <c r="AL660" s="330"/>
      <c r="AM660" s="330"/>
      <c r="AN660" s="330"/>
      <c r="AO660" s="330"/>
      <c r="AP660" s="330"/>
      <c r="AQ660" s="330"/>
      <c r="AR660" s="330"/>
      <c r="AU660" s="306"/>
      <c r="AV660" s="306"/>
      <c r="AW660" s="307"/>
      <c r="AX660" s="307"/>
      <c r="AY660" s="307"/>
      <c r="AZ660" s="307"/>
      <c r="BA660" s="307"/>
      <c r="BB660" s="307"/>
      <c r="BC660" s="307"/>
      <c r="BD660" s="307"/>
      <c r="BE660" s="307"/>
    </row>
    <row r="661" spans="7:57" s="302" customFormat="1" ht="11.75" customHeight="1" x14ac:dyDescent="0.15">
      <c r="G661" s="300"/>
      <c r="H661" s="301"/>
      <c r="I661" s="301"/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  <c r="Y661" s="301"/>
      <c r="Z661" s="301"/>
      <c r="AA661" s="301"/>
      <c r="AB661" s="301"/>
      <c r="AC661" s="301"/>
      <c r="AD661" s="301"/>
      <c r="AE661" s="301"/>
      <c r="AH661" s="306"/>
      <c r="AI661" s="306"/>
      <c r="AJ661" s="307"/>
      <c r="AK661" s="307"/>
      <c r="AL661" s="307"/>
      <c r="AM661" s="307"/>
      <c r="AN661" s="307"/>
      <c r="AO661" s="307"/>
      <c r="AP661" s="307"/>
      <c r="AQ661" s="307"/>
      <c r="AR661" s="307"/>
      <c r="AU661" s="306"/>
      <c r="AV661" s="306"/>
      <c r="AW661" s="307"/>
      <c r="AX661" s="307"/>
      <c r="AY661" s="307"/>
      <c r="AZ661" s="307"/>
      <c r="BA661" s="307"/>
      <c r="BB661" s="307"/>
      <c r="BC661" s="307"/>
      <c r="BD661" s="307"/>
      <c r="BE661" s="307"/>
    </row>
    <row r="662" spans="7:57" s="302" customFormat="1" ht="11.75" customHeight="1" x14ac:dyDescent="0.15">
      <c r="G662" s="300"/>
      <c r="H662" s="301"/>
      <c r="I662" s="301"/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  <c r="Y662" s="301"/>
      <c r="Z662" s="301"/>
      <c r="AA662" s="301"/>
      <c r="AB662" s="301"/>
      <c r="AC662" s="301"/>
      <c r="AD662" s="301"/>
      <c r="AE662" s="301"/>
      <c r="AH662" s="306"/>
      <c r="AI662" s="306"/>
      <c r="AJ662" s="307"/>
      <c r="AK662" s="307"/>
      <c r="AL662" s="307"/>
      <c r="AM662" s="307"/>
      <c r="AN662" s="307"/>
      <c r="AO662" s="307"/>
      <c r="AP662" s="307"/>
      <c r="AQ662" s="307"/>
      <c r="AR662" s="307"/>
      <c r="AU662" s="306"/>
      <c r="AV662" s="306"/>
      <c r="AW662" s="307"/>
      <c r="AX662" s="307"/>
      <c r="AY662" s="307"/>
      <c r="AZ662" s="307"/>
      <c r="BA662" s="307"/>
      <c r="BB662" s="307"/>
      <c r="BC662" s="307"/>
      <c r="BD662" s="307"/>
      <c r="BE662" s="307"/>
    </row>
    <row r="663" spans="7:57" s="302" customFormat="1" ht="11.75" customHeight="1" x14ac:dyDescent="0.15">
      <c r="G663" s="300"/>
      <c r="H663" s="301"/>
      <c r="I663" s="301"/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  <c r="Y663" s="301"/>
      <c r="Z663" s="301"/>
      <c r="AA663" s="301"/>
      <c r="AB663" s="301"/>
      <c r="AC663" s="301"/>
      <c r="AD663" s="301"/>
      <c r="AE663" s="301"/>
      <c r="AH663" s="327"/>
      <c r="AI663" s="306"/>
      <c r="AJ663" s="307"/>
      <c r="AK663" s="307"/>
      <c r="AL663" s="307"/>
      <c r="AM663" s="307"/>
      <c r="AN663" s="307"/>
      <c r="AO663" s="307"/>
      <c r="AP663" s="307"/>
      <c r="AQ663" s="307"/>
      <c r="AR663" s="307"/>
      <c r="AU663" s="327"/>
      <c r="AV663" s="306"/>
      <c r="AW663" s="307"/>
      <c r="AX663" s="307"/>
      <c r="AY663" s="307"/>
      <c r="AZ663" s="307"/>
      <c r="BA663" s="307"/>
      <c r="BB663" s="307"/>
      <c r="BC663" s="307"/>
      <c r="BD663" s="307"/>
      <c r="BE663" s="307"/>
    </row>
    <row r="664" spans="7:57" s="302" customFormat="1" ht="11.75" customHeight="1" x14ac:dyDescent="0.15">
      <c r="G664" s="300"/>
      <c r="H664" s="301"/>
      <c r="I664" s="301"/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  <c r="Y664" s="301"/>
      <c r="Z664" s="301"/>
      <c r="AA664" s="301"/>
      <c r="AB664" s="301"/>
      <c r="AC664" s="301"/>
      <c r="AD664" s="301"/>
      <c r="AE664" s="301"/>
      <c r="AH664" s="306"/>
      <c r="AI664" s="306"/>
      <c r="AJ664" s="307"/>
      <c r="AK664" s="307"/>
      <c r="AL664" s="307"/>
      <c r="AM664" s="307"/>
      <c r="AN664" s="307"/>
      <c r="AO664" s="307"/>
      <c r="AP664" s="307"/>
      <c r="AQ664" s="307"/>
      <c r="AR664" s="307"/>
      <c r="AU664" s="306"/>
      <c r="AV664" s="306"/>
      <c r="AW664" s="307"/>
      <c r="AX664" s="307"/>
      <c r="AY664" s="307"/>
      <c r="AZ664" s="307"/>
      <c r="BA664" s="307"/>
      <c r="BB664" s="307"/>
      <c r="BC664" s="307"/>
      <c r="BD664" s="307"/>
      <c r="BE664" s="307"/>
    </row>
    <row r="665" spans="7:57" s="302" customFormat="1" ht="11.75" customHeight="1" x14ac:dyDescent="0.15">
      <c r="G665" s="300"/>
      <c r="H665" s="301"/>
      <c r="I665" s="301"/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  <c r="Y665" s="301"/>
      <c r="Z665" s="301"/>
      <c r="AA665" s="301"/>
      <c r="AB665" s="301"/>
      <c r="AC665" s="301"/>
      <c r="AD665" s="301"/>
      <c r="AE665" s="301"/>
      <c r="AH665" s="306"/>
      <c r="AI665" s="306"/>
      <c r="AJ665" s="307"/>
      <c r="AK665" s="307"/>
      <c r="AL665" s="307"/>
      <c r="AM665" s="307"/>
      <c r="AN665" s="307"/>
      <c r="AO665" s="307"/>
      <c r="AP665" s="307"/>
      <c r="AQ665" s="307"/>
      <c r="AR665" s="307"/>
      <c r="AU665" s="306"/>
      <c r="AV665" s="306"/>
      <c r="AW665" s="307"/>
      <c r="AX665" s="307"/>
      <c r="AY665" s="307"/>
      <c r="AZ665" s="307"/>
      <c r="BA665" s="307"/>
      <c r="BB665" s="307"/>
      <c r="BC665" s="307"/>
      <c r="BD665" s="307"/>
      <c r="BE665" s="307"/>
    </row>
    <row r="666" spans="7:57" s="302" customFormat="1" ht="11.75" customHeight="1" x14ac:dyDescent="0.15">
      <c r="G666" s="300"/>
      <c r="H666" s="301"/>
      <c r="I666" s="301"/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  <c r="Y666" s="301"/>
      <c r="Z666" s="301"/>
      <c r="AA666" s="301"/>
      <c r="AB666" s="301"/>
      <c r="AC666" s="301"/>
      <c r="AD666" s="301"/>
      <c r="AE666" s="301"/>
      <c r="AH666" s="306"/>
      <c r="AI666" s="306"/>
      <c r="AJ666" s="307"/>
      <c r="AK666" s="330"/>
      <c r="AL666" s="330"/>
      <c r="AM666" s="330"/>
      <c r="AN666" s="330"/>
      <c r="AO666" s="330"/>
      <c r="AP666" s="330"/>
      <c r="AQ666" s="330"/>
      <c r="AR666" s="330"/>
      <c r="AU666" s="306"/>
      <c r="AV666" s="306"/>
      <c r="AW666" s="307"/>
      <c r="AX666" s="307"/>
      <c r="AY666" s="307"/>
      <c r="AZ666" s="307"/>
      <c r="BA666" s="307"/>
      <c r="BB666" s="307"/>
      <c r="BC666" s="307"/>
      <c r="BD666" s="307"/>
      <c r="BE666" s="307"/>
    </row>
    <row r="667" spans="7:57" s="302" customFormat="1" ht="11.75" customHeight="1" x14ac:dyDescent="0.15">
      <c r="G667" s="300"/>
      <c r="H667" s="301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  <c r="Y667" s="301"/>
      <c r="Z667" s="301"/>
      <c r="AA667" s="301"/>
      <c r="AB667" s="301"/>
      <c r="AC667" s="301"/>
      <c r="AD667" s="301"/>
      <c r="AE667" s="301"/>
      <c r="AH667" s="306"/>
      <c r="AI667" s="306"/>
      <c r="AJ667" s="307"/>
      <c r="AK667" s="307"/>
      <c r="AL667" s="307"/>
      <c r="AM667" s="307"/>
      <c r="AN667" s="307"/>
      <c r="AO667" s="307"/>
      <c r="AP667" s="307"/>
      <c r="AQ667" s="307"/>
      <c r="AR667" s="307"/>
      <c r="AU667" s="306"/>
      <c r="AV667" s="306"/>
      <c r="AW667" s="307"/>
      <c r="AX667" s="307"/>
      <c r="AY667" s="307"/>
      <c r="AZ667" s="307"/>
      <c r="BA667" s="307"/>
      <c r="BB667" s="307"/>
      <c r="BC667" s="307"/>
      <c r="BD667" s="307"/>
      <c r="BE667" s="307"/>
    </row>
    <row r="668" spans="7:57" s="302" customFormat="1" ht="11.75" customHeight="1" x14ac:dyDescent="0.15">
      <c r="G668" s="300"/>
      <c r="H668" s="301"/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  <c r="Y668" s="301"/>
      <c r="Z668" s="301"/>
      <c r="AA668" s="301"/>
      <c r="AB668" s="301"/>
      <c r="AC668" s="301"/>
      <c r="AD668" s="301"/>
      <c r="AE668" s="301"/>
      <c r="AH668" s="306"/>
      <c r="AI668" s="306"/>
      <c r="AJ668" s="307"/>
      <c r="AK668" s="307"/>
      <c r="AL668" s="307"/>
      <c r="AM668" s="307"/>
      <c r="AN668" s="307"/>
      <c r="AO668" s="307"/>
      <c r="AP668" s="307"/>
      <c r="AQ668" s="307"/>
      <c r="AR668" s="307"/>
      <c r="AU668" s="306"/>
      <c r="AV668" s="306"/>
      <c r="AW668" s="307"/>
      <c r="AX668" s="307"/>
      <c r="AY668" s="307"/>
      <c r="AZ668" s="307"/>
      <c r="BA668" s="307"/>
      <c r="BB668" s="307"/>
      <c r="BC668" s="307"/>
      <c r="BD668" s="307"/>
      <c r="BE668" s="307"/>
    </row>
    <row r="669" spans="7:57" s="302" customFormat="1" ht="11.75" customHeight="1" x14ac:dyDescent="0.15">
      <c r="G669" s="300"/>
      <c r="H669" s="301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  <c r="Y669" s="301"/>
      <c r="Z669" s="301"/>
      <c r="AA669" s="301"/>
      <c r="AB669" s="301"/>
      <c r="AC669" s="301"/>
      <c r="AD669" s="301"/>
      <c r="AE669" s="301"/>
      <c r="AH669" s="327"/>
      <c r="AI669" s="306"/>
      <c r="AJ669" s="307"/>
      <c r="AK669" s="307"/>
      <c r="AL669" s="307"/>
      <c r="AM669" s="307"/>
      <c r="AN669" s="307"/>
      <c r="AO669" s="307"/>
      <c r="AP669" s="307"/>
      <c r="AQ669" s="307"/>
      <c r="AR669" s="307"/>
      <c r="AU669" s="327"/>
      <c r="AV669" s="306"/>
      <c r="AW669" s="307"/>
      <c r="AX669" s="307"/>
      <c r="AY669" s="307"/>
      <c r="AZ669" s="307"/>
      <c r="BA669" s="307"/>
      <c r="BB669" s="307"/>
      <c r="BC669" s="307"/>
      <c r="BD669" s="307"/>
      <c r="BE669" s="307"/>
    </row>
    <row r="670" spans="7:57" s="302" customFormat="1" ht="11.75" customHeight="1" x14ac:dyDescent="0.15">
      <c r="G670" s="300"/>
      <c r="H670" s="301"/>
      <c r="I670" s="301"/>
      <c r="J670" s="301"/>
      <c r="K670" s="301"/>
      <c r="L670" s="301"/>
      <c r="M670" s="301"/>
      <c r="N670" s="301"/>
      <c r="O670" s="301"/>
      <c r="P670" s="301"/>
      <c r="Q670" s="301"/>
      <c r="R670" s="301"/>
      <c r="S670" s="301"/>
      <c r="T670" s="301"/>
      <c r="U670" s="301"/>
      <c r="V670" s="301"/>
      <c r="W670" s="301"/>
      <c r="X670" s="301"/>
      <c r="Y670" s="301"/>
      <c r="Z670" s="301"/>
      <c r="AA670" s="301"/>
      <c r="AB670" s="301"/>
      <c r="AC670" s="301"/>
      <c r="AD670" s="301"/>
      <c r="AE670" s="301"/>
      <c r="AH670" s="306"/>
      <c r="AI670" s="306"/>
      <c r="AJ670" s="307"/>
      <c r="AK670" s="307"/>
      <c r="AL670" s="307"/>
      <c r="AM670" s="307"/>
      <c r="AN670" s="307"/>
      <c r="AO670" s="307"/>
      <c r="AP670" s="307"/>
      <c r="AQ670" s="307"/>
      <c r="AR670" s="307"/>
      <c r="AU670" s="306"/>
      <c r="AV670" s="306"/>
      <c r="AW670" s="307"/>
      <c r="AX670" s="307"/>
      <c r="AY670" s="307"/>
      <c r="AZ670" s="307"/>
      <c r="BA670" s="307"/>
      <c r="BB670" s="307"/>
      <c r="BC670" s="307"/>
      <c r="BD670" s="307"/>
      <c r="BE670" s="307"/>
    </row>
    <row r="671" spans="7:57" s="302" customFormat="1" ht="11.75" customHeight="1" x14ac:dyDescent="0.15">
      <c r="G671" s="300"/>
      <c r="H671" s="301"/>
      <c r="I671" s="301"/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  <c r="Y671" s="301"/>
      <c r="Z671" s="301"/>
      <c r="AA671" s="301"/>
      <c r="AB671" s="301"/>
      <c r="AC671" s="301"/>
      <c r="AD671" s="301"/>
      <c r="AE671" s="301"/>
      <c r="AH671" s="306"/>
      <c r="AI671" s="306"/>
      <c r="AJ671" s="307"/>
      <c r="AK671" s="307"/>
      <c r="AL671" s="307"/>
      <c r="AM671" s="307"/>
      <c r="AN671" s="307"/>
      <c r="AO671" s="307"/>
      <c r="AP671" s="307"/>
      <c r="AQ671" s="307"/>
      <c r="AR671" s="307"/>
      <c r="AU671" s="306"/>
      <c r="AV671" s="306"/>
      <c r="AW671" s="307"/>
      <c r="AX671" s="307"/>
      <c r="AY671" s="307"/>
      <c r="AZ671" s="307"/>
      <c r="BA671" s="307"/>
      <c r="BB671" s="307"/>
      <c r="BC671" s="307"/>
      <c r="BD671" s="307"/>
      <c r="BE671" s="307"/>
    </row>
    <row r="672" spans="7:57" s="302" customFormat="1" ht="11.75" customHeight="1" x14ac:dyDescent="0.15">
      <c r="G672" s="300"/>
      <c r="H672" s="301"/>
      <c r="I672" s="301"/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  <c r="Y672" s="301"/>
      <c r="Z672" s="301"/>
      <c r="AA672" s="301"/>
      <c r="AB672" s="301"/>
      <c r="AC672" s="301"/>
      <c r="AD672" s="301"/>
      <c r="AE672" s="301"/>
      <c r="AH672" s="306"/>
      <c r="AI672" s="306"/>
      <c r="AJ672" s="307"/>
      <c r="AK672" s="330"/>
      <c r="AL672" s="330"/>
      <c r="AM672" s="330"/>
      <c r="AN672" s="330"/>
      <c r="AO672" s="330"/>
      <c r="AP672" s="330"/>
      <c r="AQ672" s="330"/>
      <c r="AR672" s="330"/>
      <c r="AU672" s="306"/>
      <c r="AV672" s="306"/>
      <c r="AW672" s="307"/>
      <c r="AX672" s="307"/>
      <c r="AY672" s="307"/>
      <c r="AZ672" s="307"/>
      <c r="BA672" s="307"/>
      <c r="BB672" s="307"/>
      <c r="BC672" s="307"/>
      <c r="BD672" s="307"/>
      <c r="BE672" s="307"/>
    </row>
    <row r="673" spans="7:69" s="302" customFormat="1" ht="11.75" customHeight="1" x14ac:dyDescent="0.15">
      <c r="G673" s="300"/>
      <c r="H673" s="301"/>
      <c r="I673" s="301"/>
      <c r="J673" s="301"/>
      <c r="K673" s="301"/>
      <c r="L673" s="301"/>
      <c r="M673" s="301"/>
      <c r="N673" s="301"/>
      <c r="O673" s="301"/>
      <c r="P673" s="301"/>
      <c r="Q673" s="301"/>
      <c r="R673" s="301"/>
      <c r="S673" s="301"/>
      <c r="T673" s="301"/>
      <c r="U673" s="301"/>
      <c r="V673" s="301"/>
      <c r="W673" s="301"/>
      <c r="X673" s="301"/>
      <c r="Y673" s="301"/>
      <c r="Z673" s="301"/>
      <c r="AA673" s="301"/>
      <c r="AB673" s="301"/>
      <c r="AC673" s="301"/>
      <c r="AD673" s="301"/>
      <c r="AE673" s="301"/>
      <c r="AH673" s="306"/>
      <c r="AI673" s="306"/>
      <c r="AJ673" s="307"/>
      <c r="AK673" s="307"/>
      <c r="AL673" s="307"/>
      <c r="AM673" s="307"/>
      <c r="AN673" s="307"/>
      <c r="AO673" s="307"/>
      <c r="AP673" s="307"/>
      <c r="AQ673" s="307"/>
      <c r="AR673" s="307"/>
      <c r="AU673" s="306"/>
      <c r="AV673" s="306"/>
      <c r="AW673" s="307"/>
      <c r="AX673" s="307"/>
      <c r="AY673" s="307"/>
      <c r="AZ673" s="307"/>
      <c r="BA673" s="307"/>
      <c r="BB673" s="307"/>
      <c r="BC673" s="307"/>
      <c r="BD673" s="307"/>
      <c r="BE673" s="307"/>
    </row>
    <row r="674" spans="7:69" s="302" customFormat="1" ht="11.75" customHeight="1" x14ac:dyDescent="0.15">
      <c r="G674" s="300"/>
      <c r="H674" s="301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  <c r="Y674" s="301"/>
      <c r="Z674" s="301"/>
      <c r="AA674" s="301"/>
      <c r="AB674" s="301"/>
      <c r="AC674" s="301"/>
      <c r="AD674" s="301"/>
      <c r="AE674" s="301"/>
      <c r="AH674" s="306"/>
      <c r="AI674" s="306"/>
      <c r="AJ674" s="307"/>
      <c r="AK674" s="307"/>
      <c r="AL674" s="307"/>
      <c r="AM674" s="307"/>
      <c r="AN674" s="307"/>
      <c r="AO674" s="307"/>
      <c r="AP674" s="307"/>
      <c r="AQ674" s="307"/>
      <c r="AR674" s="307"/>
      <c r="AU674" s="306"/>
      <c r="AV674" s="306"/>
      <c r="AW674" s="307"/>
      <c r="AX674" s="307"/>
      <c r="AY674" s="307"/>
      <c r="AZ674" s="307"/>
      <c r="BA674" s="307"/>
      <c r="BB674" s="307"/>
      <c r="BC674" s="307"/>
      <c r="BD674" s="307"/>
      <c r="BE674" s="307"/>
    </row>
    <row r="675" spans="7:69" s="302" customFormat="1" ht="11.75" customHeight="1" x14ac:dyDescent="0.15">
      <c r="G675" s="300"/>
      <c r="H675" s="301"/>
      <c r="I675" s="301"/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  <c r="Y675" s="301"/>
      <c r="Z675" s="301"/>
      <c r="AA675" s="301"/>
      <c r="AB675" s="301"/>
      <c r="AC675" s="301"/>
      <c r="AD675" s="301"/>
      <c r="AE675" s="301"/>
      <c r="AH675" s="327"/>
      <c r="AI675" s="306"/>
      <c r="AJ675" s="307"/>
      <c r="AK675" s="307"/>
      <c r="AL675" s="307"/>
      <c r="AM675" s="307"/>
      <c r="AN675" s="307"/>
      <c r="AO675" s="307"/>
      <c r="AP675" s="307"/>
      <c r="AQ675" s="307"/>
      <c r="AR675" s="307"/>
      <c r="AU675" s="327"/>
      <c r="AV675" s="306"/>
      <c r="AW675" s="307"/>
      <c r="AX675" s="307"/>
      <c r="AY675" s="307"/>
      <c r="AZ675" s="307"/>
      <c r="BA675" s="307"/>
      <c r="BB675" s="307"/>
      <c r="BC675" s="307"/>
      <c r="BD675" s="307"/>
      <c r="BE675" s="307"/>
    </row>
    <row r="676" spans="7:69" s="302" customFormat="1" ht="11.75" customHeight="1" x14ac:dyDescent="0.15">
      <c r="G676" s="300"/>
      <c r="H676" s="301"/>
      <c r="I676" s="301"/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  <c r="Y676" s="301"/>
      <c r="Z676" s="301"/>
      <c r="AA676" s="301"/>
      <c r="AB676" s="301"/>
      <c r="AC676" s="301"/>
      <c r="AD676" s="301"/>
      <c r="AE676" s="301"/>
      <c r="AH676" s="306"/>
      <c r="AI676" s="306"/>
      <c r="AJ676" s="307"/>
      <c r="AK676" s="307"/>
      <c r="AL676" s="307"/>
      <c r="AM676" s="307"/>
      <c r="AN676" s="307"/>
      <c r="AO676" s="307"/>
      <c r="AP676" s="307"/>
      <c r="AQ676" s="307"/>
      <c r="AR676" s="307"/>
      <c r="AU676" s="306"/>
      <c r="AV676" s="306"/>
      <c r="AW676" s="307"/>
      <c r="AX676" s="307"/>
      <c r="AY676" s="307"/>
      <c r="AZ676" s="307"/>
      <c r="BA676" s="307"/>
      <c r="BB676" s="307"/>
      <c r="BC676" s="307"/>
      <c r="BD676" s="307"/>
      <c r="BE676" s="307"/>
    </row>
    <row r="677" spans="7:69" s="302" customFormat="1" ht="11.75" customHeight="1" x14ac:dyDescent="0.15">
      <c r="G677" s="300"/>
      <c r="H677" s="301"/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  <c r="Y677" s="301"/>
      <c r="Z677" s="301"/>
      <c r="AA677" s="301"/>
      <c r="AB677" s="301"/>
      <c r="AC677" s="301"/>
      <c r="AD677" s="301"/>
      <c r="AE677" s="301"/>
      <c r="AH677" s="306"/>
      <c r="AI677" s="306"/>
      <c r="AJ677" s="307"/>
      <c r="AK677" s="307"/>
      <c r="AL677" s="307"/>
      <c r="AM677" s="307"/>
      <c r="AN677" s="307"/>
      <c r="AO677" s="307"/>
      <c r="AP677" s="307"/>
      <c r="AQ677" s="307"/>
      <c r="AR677" s="307"/>
      <c r="AU677" s="306"/>
      <c r="AV677" s="306"/>
      <c r="AW677" s="307"/>
      <c r="AX677" s="307"/>
      <c r="AY677" s="307"/>
      <c r="AZ677" s="307"/>
      <c r="BA677" s="307"/>
      <c r="BB677" s="307"/>
      <c r="BC677" s="307"/>
      <c r="BD677" s="307"/>
      <c r="BE677" s="307"/>
    </row>
    <row r="678" spans="7:69" s="302" customFormat="1" ht="11.75" customHeight="1" x14ac:dyDescent="0.15">
      <c r="G678" s="300"/>
      <c r="H678" s="301"/>
      <c r="I678" s="301"/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  <c r="Y678" s="301"/>
      <c r="Z678" s="301"/>
      <c r="AA678" s="301"/>
      <c r="AB678" s="301"/>
      <c r="AC678" s="301"/>
      <c r="AD678" s="301"/>
      <c r="AE678" s="301"/>
      <c r="AH678" s="306"/>
      <c r="AI678" s="306"/>
      <c r="AJ678" s="307"/>
      <c r="AK678" s="307"/>
      <c r="AL678" s="307"/>
      <c r="AM678" s="307"/>
      <c r="AN678" s="307"/>
      <c r="AO678" s="307"/>
      <c r="AP678" s="307"/>
      <c r="AQ678" s="307"/>
      <c r="AR678" s="307"/>
      <c r="AU678" s="306"/>
      <c r="AV678" s="306"/>
      <c r="AW678" s="307"/>
      <c r="AX678" s="307"/>
      <c r="AY678" s="307"/>
      <c r="AZ678" s="307"/>
      <c r="BA678" s="307"/>
      <c r="BB678" s="307"/>
      <c r="BC678" s="307"/>
      <c r="BD678" s="307"/>
      <c r="BE678" s="307"/>
    </row>
    <row r="679" spans="7:69" s="302" customFormat="1" ht="11.75" customHeight="1" x14ac:dyDescent="0.15">
      <c r="G679" s="300"/>
      <c r="H679" s="301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  <c r="Y679" s="301"/>
      <c r="Z679" s="301"/>
      <c r="AA679" s="301"/>
      <c r="AB679" s="301"/>
      <c r="AC679" s="301"/>
      <c r="AD679" s="301"/>
      <c r="AE679" s="301"/>
      <c r="AH679" s="306"/>
      <c r="AI679" s="306"/>
      <c r="AJ679" s="307"/>
      <c r="AK679" s="307"/>
      <c r="AL679" s="307"/>
      <c r="AM679" s="307"/>
      <c r="AN679" s="307"/>
      <c r="AO679" s="307"/>
      <c r="AP679" s="307"/>
      <c r="AQ679" s="307"/>
      <c r="AR679" s="307"/>
      <c r="AU679" s="306"/>
      <c r="AV679" s="306"/>
      <c r="AW679" s="307"/>
      <c r="AX679" s="307"/>
      <c r="AY679" s="307"/>
      <c r="AZ679" s="307"/>
      <c r="BA679" s="307"/>
      <c r="BB679" s="307"/>
      <c r="BC679" s="307"/>
      <c r="BD679" s="307"/>
      <c r="BE679" s="307"/>
    </row>
    <row r="680" spans="7:69" s="302" customFormat="1" ht="11.75" customHeight="1" x14ac:dyDescent="0.15">
      <c r="G680" s="300"/>
      <c r="H680" s="301"/>
      <c r="I680" s="301"/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  <c r="Y680" s="301"/>
      <c r="Z680" s="301"/>
      <c r="AA680" s="301"/>
      <c r="AB680" s="301"/>
      <c r="AC680" s="301"/>
      <c r="AD680" s="301"/>
      <c r="AE680" s="301"/>
      <c r="AH680" s="306"/>
      <c r="AI680" s="306"/>
      <c r="AJ680" s="307"/>
      <c r="AK680" s="307"/>
      <c r="AL680" s="307"/>
      <c r="AM680" s="307"/>
      <c r="AN680" s="307"/>
      <c r="AO680" s="307"/>
      <c r="AP680" s="307"/>
      <c r="AQ680" s="307"/>
      <c r="AR680" s="307"/>
      <c r="AU680" s="306"/>
      <c r="AV680" s="306"/>
      <c r="AW680" s="307"/>
      <c r="AX680" s="307"/>
      <c r="AY680" s="307"/>
      <c r="AZ680" s="307"/>
      <c r="BA680" s="307"/>
      <c r="BB680" s="307"/>
      <c r="BC680" s="307"/>
      <c r="BD680" s="307"/>
      <c r="BE680" s="307"/>
    </row>
    <row r="681" spans="7:69" s="302" customFormat="1" ht="11.75" customHeight="1" x14ac:dyDescent="0.15">
      <c r="G681" s="300"/>
      <c r="H681" s="301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  <c r="Y681" s="301"/>
      <c r="Z681" s="301"/>
      <c r="AA681" s="301"/>
      <c r="AB681" s="301"/>
      <c r="AC681" s="301"/>
      <c r="AD681" s="301"/>
      <c r="AE681" s="301"/>
      <c r="AH681" s="327"/>
      <c r="AI681" s="306"/>
      <c r="AJ681" s="307"/>
      <c r="AK681" s="307"/>
      <c r="AL681" s="307"/>
      <c r="AM681" s="307"/>
      <c r="AN681" s="307"/>
      <c r="AO681" s="307"/>
      <c r="AP681" s="307"/>
      <c r="AQ681" s="307"/>
      <c r="AR681" s="307"/>
      <c r="AU681" s="306"/>
      <c r="AV681" s="306"/>
      <c r="AW681" s="307"/>
      <c r="AX681" s="307"/>
      <c r="AY681" s="307"/>
      <c r="AZ681" s="307"/>
      <c r="BA681" s="307"/>
      <c r="BB681" s="307"/>
      <c r="BC681" s="307"/>
      <c r="BD681" s="307"/>
      <c r="BE681" s="307"/>
    </row>
    <row r="682" spans="7:69" s="302" customFormat="1" ht="11.75" customHeight="1" x14ac:dyDescent="0.15">
      <c r="G682" s="300"/>
      <c r="H682" s="301"/>
      <c r="I682" s="301"/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  <c r="Y682" s="301"/>
      <c r="Z682" s="301"/>
      <c r="AA682" s="301"/>
      <c r="AB682" s="301"/>
      <c r="AC682" s="301"/>
      <c r="AD682" s="301"/>
      <c r="AE682" s="301"/>
      <c r="AH682" s="306"/>
      <c r="AI682" s="306"/>
      <c r="AJ682" s="307"/>
      <c r="AK682" s="307"/>
      <c r="AL682" s="307"/>
      <c r="AM682" s="307"/>
      <c r="AN682" s="307"/>
      <c r="AO682" s="307"/>
      <c r="AP682" s="307"/>
      <c r="AQ682" s="307"/>
      <c r="AR682" s="307"/>
      <c r="AU682" s="306"/>
      <c r="AV682" s="306"/>
      <c r="AW682" s="307"/>
      <c r="AX682" s="307"/>
      <c r="AY682" s="307"/>
      <c r="AZ682" s="307"/>
      <c r="BA682" s="307"/>
      <c r="BB682" s="307"/>
      <c r="BC682" s="307"/>
      <c r="BD682" s="307"/>
      <c r="BE682" s="307"/>
    </row>
    <row r="683" spans="7:69" s="302" customFormat="1" ht="11.75" customHeight="1" x14ac:dyDescent="0.15">
      <c r="G683" s="300"/>
      <c r="H683" s="301"/>
      <c r="I683" s="301"/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  <c r="Y683" s="301"/>
      <c r="Z683" s="301"/>
      <c r="AA683" s="301"/>
      <c r="AB683" s="301"/>
      <c r="AC683" s="301"/>
      <c r="AD683" s="301"/>
      <c r="AE683" s="301"/>
      <c r="AH683" s="306"/>
      <c r="AI683" s="306"/>
      <c r="AJ683" s="307"/>
      <c r="AK683" s="307"/>
      <c r="AL683" s="307"/>
      <c r="AM683" s="307"/>
      <c r="AN683" s="307"/>
      <c r="AO683" s="307"/>
      <c r="AP683" s="307"/>
      <c r="AQ683" s="307"/>
      <c r="AR683" s="307"/>
      <c r="AU683" s="317"/>
      <c r="AV683" s="306"/>
      <c r="AW683" s="306"/>
      <c r="AX683" s="307"/>
      <c r="AY683" s="307"/>
      <c r="AZ683" s="307"/>
      <c r="BA683" s="307"/>
      <c r="BB683" s="307"/>
      <c r="BC683" s="307"/>
      <c r="BD683" s="307"/>
      <c r="BE683" s="307"/>
      <c r="BG683" s="317"/>
      <c r="BH683" s="306"/>
      <c r="BI683" s="306"/>
      <c r="BJ683" s="306"/>
      <c r="BK683" s="306"/>
      <c r="BL683" s="306"/>
      <c r="BM683" s="306"/>
      <c r="BN683" s="306"/>
      <c r="BO683" s="306"/>
      <c r="BP683" s="306"/>
      <c r="BQ683" s="306"/>
    </row>
    <row r="684" spans="7:69" s="302" customFormat="1" ht="11.75" customHeight="1" x14ac:dyDescent="0.15">
      <c r="G684" s="300"/>
      <c r="H684" s="301"/>
      <c r="I684" s="301"/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  <c r="Y684" s="301"/>
      <c r="Z684" s="301"/>
      <c r="AA684" s="301"/>
      <c r="AB684" s="301"/>
      <c r="AC684" s="301"/>
      <c r="AD684" s="301"/>
      <c r="AE684" s="301"/>
      <c r="AH684" s="306"/>
      <c r="AI684" s="306"/>
      <c r="AJ684" s="307"/>
      <c r="AK684" s="307"/>
      <c r="AL684" s="307"/>
      <c r="AM684" s="307"/>
      <c r="AN684" s="307"/>
      <c r="AO684" s="307"/>
      <c r="AP684" s="307"/>
      <c r="AQ684" s="307"/>
      <c r="AR684" s="307"/>
      <c r="AU684" s="306"/>
      <c r="AV684" s="306"/>
      <c r="AW684" s="306"/>
      <c r="AX684" s="307"/>
      <c r="AY684" s="307"/>
      <c r="AZ684" s="307"/>
      <c r="BA684" s="307"/>
      <c r="BB684" s="307"/>
      <c r="BC684" s="307"/>
      <c r="BD684" s="307"/>
      <c r="BE684" s="307"/>
      <c r="BG684" s="306"/>
      <c r="BH684" s="306"/>
      <c r="BI684" s="306"/>
      <c r="BJ684" s="306"/>
      <c r="BK684" s="306"/>
      <c r="BL684" s="306"/>
      <c r="BM684" s="306"/>
      <c r="BN684" s="306"/>
      <c r="BO684" s="306"/>
      <c r="BP684" s="306"/>
      <c r="BQ684" s="306"/>
    </row>
    <row r="685" spans="7:69" s="302" customFormat="1" ht="11.75" customHeight="1" x14ac:dyDescent="0.15">
      <c r="G685" s="300"/>
      <c r="H685" s="301"/>
      <c r="I685" s="301"/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  <c r="Y685" s="301"/>
      <c r="Z685" s="301"/>
      <c r="AA685" s="301"/>
      <c r="AB685" s="301"/>
      <c r="AC685" s="301"/>
      <c r="AD685" s="301"/>
      <c r="AE685" s="301"/>
      <c r="AH685" s="306"/>
      <c r="AI685" s="306"/>
      <c r="AJ685" s="307"/>
      <c r="AK685" s="307"/>
      <c r="AL685" s="307"/>
      <c r="AM685" s="307"/>
      <c r="AN685" s="307"/>
      <c r="AO685" s="307"/>
      <c r="AP685" s="307"/>
      <c r="AQ685" s="307"/>
      <c r="AR685" s="307"/>
      <c r="AU685" s="306"/>
      <c r="AV685" s="306"/>
      <c r="AW685" s="306"/>
      <c r="AX685" s="307"/>
      <c r="AY685" s="307"/>
      <c r="AZ685" s="307"/>
      <c r="BA685" s="307"/>
      <c r="BB685" s="307"/>
      <c r="BC685" s="307"/>
      <c r="BD685" s="307"/>
      <c r="BE685" s="307"/>
      <c r="BG685" s="306"/>
      <c r="BH685" s="306"/>
      <c r="BI685" s="306"/>
      <c r="BJ685" s="307"/>
      <c r="BK685" s="307"/>
      <c r="BL685" s="307"/>
      <c r="BM685" s="307"/>
      <c r="BN685" s="307"/>
      <c r="BO685" s="307"/>
      <c r="BP685" s="307"/>
      <c r="BQ685" s="307"/>
    </row>
    <row r="686" spans="7:69" s="302" customFormat="1" ht="11.75" customHeight="1" x14ac:dyDescent="0.15">
      <c r="G686" s="300"/>
      <c r="H686" s="301"/>
      <c r="I686" s="301"/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  <c r="Y686" s="301"/>
      <c r="Z686" s="301"/>
      <c r="AA686" s="301"/>
      <c r="AB686" s="301"/>
      <c r="AC686" s="301"/>
      <c r="AD686" s="301"/>
      <c r="AE686" s="301"/>
      <c r="AH686" s="306"/>
      <c r="AI686" s="306"/>
      <c r="AJ686" s="307"/>
      <c r="AK686" s="307"/>
      <c r="AL686" s="307"/>
      <c r="AM686" s="307"/>
      <c r="AN686" s="307"/>
      <c r="AO686" s="307"/>
      <c r="AP686" s="307"/>
      <c r="AQ686" s="307"/>
      <c r="AR686" s="307"/>
      <c r="AU686" s="306"/>
      <c r="AV686" s="306"/>
      <c r="AW686" s="306"/>
      <c r="AX686" s="307"/>
      <c r="AY686" s="307"/>
      <c r="AZ686" s="307"/>
      <c r="BA686" s="307"/>
      <c r="BB686" s="307"/>
      <c r="BC686" s="307"/>
      <c r="BD686" s="307"/>
      <c r="BE686" s="301"/>
      <c r="BG686" s="306"/>
      <c r="BH686" s="306"/>
      <c r="BI686" s="306"/>
      <c r="BJ686" s="307"/>
      <c r="BK686" s="307"/>
      <c r="BL686" s="307"/>
      <c r="BM686" s="307"/>
      <c r="BN686" s="307"/>
      <c r="BO686" s="307"/>
      <c r="BP686" s="307"/>
      <c r="BQ686" s="301"/>
    </row>
    <row r="687" spans="7:69" s="302" customFormat="1" ht="11.75" customHeight="1" x14ac:dyDescent="0.15">
      <c r="G687" s="300"/>
      <c r="H687" s="301"/>
      <c r="I687" s="301"/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  <c r="Y687" s="301"/>
      <c r="Z687" s="301"/>
      <c r="AA687" s="301"/>
      <c r="AB687" s="301"/>
      <c r="AC687" s="301"/>
      <c r="AD687" s="301"/>
      <c r="AE687" s="301"/>
      <c r="AH687" s="327"/>
      <c r="AI687" s="306"/>
      <c r="AJ687" s="307"/>
      <c r="AK687" s="307"/>
      <c r="AL687" s="307"/>
      <c r="AM687" s="307"/>
      <c r="AN687" s="307"/>
      <c r="AO687" s="307"/>
      <c r="AP687" s="307"/>
      <c r="AQ687" s="307"/>
      <c r="AR687" s="307"/>
      <c r="AU687" s="327"/>
      <c r="AV687" s="306"/>
      <c r="AW687" s="306"/>
      <c r="AX687" s="307"/>
      <c r="AY687" s="307"/>
      <c r="AZ687" s="307"/>
      <c r="BA687" s="307"/>
      <c r="BB687" s="307"/>
      <c r="BC687" s="307"/>
      <c r="BD687" s="307"/>
      <c r="BE687" s="301"/>
      <c r="BG687" s="327"/>
      <c r="BH687" s="306"/>
      <c r="BI687" s="306"/>
      <c r="BJ687" s="307"/>
      <c r="BK687" s="307"/>
      <c r="BL687" s="307"/>
      <c r="BM687" s="307"/>
      <c r="BN687" s="307"/>
      <c r="BO687" s="307"/>
      <c r="BP687" s="307"/>
      <c r="BQ687" s="301"/>
    </row>
    <row r="688" spans="7:69" s="302" customFormat="1" ht="11.75" customHeight="1" x14ac:dyDescent="0.15">
      <c r="G688" s="300"/>
      <c r="H688" s="301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  <c r="Y688" s="301"/>
      <c r="Z688" s="301"/>
      <c r="AA688" s="301"/>
      <c r="AB688" s="301"/>
      <c r="AC688" s="301"/>
      <c r="AD688" s="301"/>
      <c r="AE688" s="301"/>
      <c r="AH688" s="306"/>
      <c r="AI688" s="306"/>
      <c r="AJ688" s="307"/>
      <c r="AK688" s="307"/>
      <c r="AL688" s="307"/>
      <c r="AM688" s="307"/>
      <c r="AN688" s="307"/>
      <c r="AO688" s="307"/>
      <c r="AP688" s="307"/>
      <c r="AQ688" s="307"/>
      <c r="AR688" s="307"/>
      <c r="AU688" s="306"/>
      <c r="AV688" s="306"/>
      <c r="AW688" s="306"/>
      <c r="AX688" s="307"/>
      <c r="AY688" s="307"/>
      <c r="AZ688" s="307"/>
      <c r="BA688" s="307"/>
      <c r="BB688" s="307"/>
      <c r="BC688" s="307"/>
      <c r="BD688" s="307"/>
      <c r="BE688" s="307"/>
      <c r="BF688" s="315"/>
      <c r="BG688" s="306"/>
      <c r="BH688" s="306"/>
      <c r="BI688" s="306"/>
      <c r="BJ688" s="307"/>
      <c r="BK688" s="307"/>
      <c r="BL688" s="307"/>
      <c r="BM688" s="307"/>
      <c r="BN688" s="307"/>
      <c r="BO688" s="307"/>
      <c r="BP688" s="307"/>
      <c r="BQ688" s="307"/>
    </row>
    <row r="689" spans="7:69" s="302" customFormat="1" ht="11.75" customHeight="1" x14ac:dyDescent="0.15">
      <c r="G689" s="300"/>
      <c r="H689" s="301"/>
      <c r="I689" s="301"/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  <c r="Y689" s="301"/>
      <c r="Z689" s="301"/>
      <c r="AA689" s="301"/>
      <c r="AB689" s="301"/>
      <c r="AC689" s="301"/>
      <c r="AD689" s="301"/>
      <c r="AE689" s="301"/>
      <c r="AH689" s="306"/>
      <c r="AI689" s="306"/>
      <c r="AJ689" s="307"/>
      <c r="AK689" s="307"/>
      <c r="AL689" s="307"/>
      <c r="AM689" s="307"/>
      <c r="AN689" s="307"/>
      <c r="AO689" s="307"/>
      <c r="AP689" s="307"/>
      <c r="AQ689" s="307"/>
      <c r="AR689" s="307"/>
      <c r="AU689" s="306"/>
      <c r="AV689" s="306"/>
      <c r="AW689" s="306"/>
      <c r="AX689" s="307"/>
      <c r="AY689" s="307"/>
      <c r="AZ689" s="307"/>
      <c r="BA689" s="307"/>
      <c r="BB689" s="307"/>
      <c r="BC689" s="307"/>
      <c r="BD689" s="307"/>
      <c r="BE689" s="307"/>
      <c r="BG689" s="306"/>
      <c r="BH689" s="306"/>
      <c r="BI689" s="306"/>
      <c r="BJ689" s="307"/>
      <c r="BK689" s="307"/>
      <c r="BL689" s="307"/>
      <c r="BM689" s="307"/>
      <c r="BN689" s="307"/>
      <c r="BO689" s="307"/>
      <c r="BP689" s="307"/>
      <c r="BQ689" s="307"/>
    </row>
    <row r="690" spans="7:69" s="302" customFormat="1" ht="11.75" customHeight="1" x14ac:dyDescent="0.15">
      <c r="G690" s="300"/>
      <c r="H690" s="301"/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  <c r="Y690" s="301"/>
      <c r="Z690" s="301"/>
      <c r="AA690" s="301"/>
      <c r="AB690" s="301"/>
      <c r="AC690" s="301"/>
      <c r="AD690" s="301"/>
      <c r="AE690" s="301"/>
      <c r="AH690" s="306"/>
      <c r="AI690" s="306"/>
      <c r="AJ690" s="307"/>
      <c r="AK690" s="316"/>
      <c r="AL690" s="307"/>
      <c r="AM690" s="307"/>
      <c r="AN690" s="307"/>
      <c r="AO690" s="307"/>
      <c r="AP690" s="307"/>
      <c r="AQ690" s="307"/>
      <c r="AR690" s="307"/>
      <c r="AU690" s="306"/>
      <c r="AV690" s="306"/>
      <c r="AW690" s="306"/>
      <c r="AX690" s="307"/>
      <c r="AY690" s="307"/>
      <c r="AZ690" s="307"/>
      <c r="BA690" s="307"/>
      <c r="BB690" s="307"/>
      <c r="BC690" s="307"/>
      <c r="BD690" s="307"/>
      <c r="BE690" s="307"/>
      <c r="BG690" s="306"/>
      <c r="BH690" s="306"/>
      <c r="BI690" s="306"/>
      <c r="BJ690" s="307"/>
      <c r="BK690" s="307"/>
      <c r="BL690" s="307"/>
      <c r="BM690" s="307"/>
      <c r="BN690" s="307"/>
      <c r="BO690" s="307"/>
      <c r="BP690" s="307"/>
      <c r="BQ690" s="307"/>
    </row>
    <row r="691" spans="7:69" s="302" customFormat="1" ht="11.75" customHeight="1" x14ac:dyDescent="0.15">
      <c r="G691" s="300"/>
      <c r="H691" s="301"/>
      <c r="I691" s="301"/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  <c r="Y691" s="301"/>
      <c r="Z691" s="301"/>
      <c r="AA691" s="301"/>
      <c r="AB691" s="301"/>
      <c r="AC691" s="301"/>
      <c r="AD691" s="301"/>
      <c r="AE691" s="301"/>
      <c r="AH691" s="306"/>
      <c r="AI691" s="306"/>
      <c r="AJ691" s="307"/>
      <c r="AK691" s="307"/>
      <c r="AL691" s="307"/>
      <c r="AM691" s="307"/>
      <c r="AN691" s="307"/>
      <c r="AO691" s="307"/>
      <c r="AP691" s="307"/>
      <c r="AQ691" s="307"/>
      <c r="AR691" s="307"/>
      <c r="AU691" s="306"/>
      <c r="AV691" s="306"/>
      <c r="AW691" s="306"/>
      <c r="AX691" s="307"/>
      <c r="AY691" s="307"/>
      <c r="AZ691" s="307"/>
      <c r="BA691" s="307"/>
      <c r="BB691" s="307"/>
      <c r="BC691" s="307"/>
      <c r="BD691" s="307"/>
      <c r="BE691" s="307"/>
      <c r="BG691" s="306"/>
      <c r="BH691" s="306"/>
      <c r="BI691" s="306"/>
      <c r="BJ691" s="307"/>
      <c r="BK691" s="307"/>
      <c r="BL691" s="307"/>
      <c r="BM691" s="307"/>
      <c r="BN691" s="307"/>
      <c r="BO691" s="307"/>
      <c r="BP691" s="307"/>
      <c r="BQ691" s="307"/>
    </row>
    <row r="692" spans="7:69" s="302" customFormat="1" ht="11.75" customHeight="1" x14ac:dyDescent="0.15">
      <c r="G692" s="300"/>
      <c r="H692" s="301"/>
      <c r="I692" s="301"/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  <c r="Y692" s="301"/>
      <c r="Z692" s="301"/>
      <c r="AA692" s="301"/>
      <c r="AB692" s="301"/>
      <c r="AC692" s="301"/>
      <c r="AD692" s="301"/>
      <c r="AE692" s="301"/>
      <c r="AH692" s="306"/>
      <c r="AI692" s="306"/>
      <c r="AJ692" s="307"/>
      <c r="AK692" s="307"/>
      <c r="AL692" s="307"/>
      <c r="AM692" s="307"/>
      <c r="AN692" s="307"/>
      <c r="AO692" s="307"/>
      <c r="AP692" s="307"/>
      <c r="AQ692" s="307"/>
      <c r="AR692" s="307"/>
      <c r="AU692" s="306"/>
      <c r="AV692" s="306"/>
      <c r="AW692" s="306"/>
      <c r="AX692" s="307"/>
      <c r="AY692" s="307"/>
      <c r="AZ692" s="307"/>
      <c r="BA692" s="307"/>
      <c r="BB692" s="307"/>
      <c r="BC692" s="307"/>
      <c r="BD692" s="307"/>
      <c r="BE692" s="301"/>
      <c r="BG692" s="306"/>
      <c r="BH692" s="306"/>
      <c r="BI692" s="306"/>
      <c r="BJ692" s="307"/>
      <c r="BK692" s="307"/>
      <c r="BL692" s="307"/>
      <c r="BM692" s="307"/>
      <c r="BN692" s="307"/>
      <c r="BO692" s="307"/>
      <c r="BP692" s="307"/>
      <c r="BQ692" s="301"/>
    </row>
    <row r="693" spans="7:69" s="302" customFormat="1" ht="11.75" customHeight="1" x14ac:dyDescent="0.15">
      <c r="G693" s="300"/>
      <c r="H693" s="301"/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  <c r="Y693" s="301"/>
      <c r="Z693" s="301"/>
      <c r="AA693" s="301"/>
      <c r="AB693" s="301"/>
      <c r="AC693" s="301"/>
      <c r="AD693" s="301"/>
      <c r="AE693" s="301"/>
      <c r="AH693" s="327"/>
      <c r="AI693" s="306"/>
      <c r="AJ693" s="307"/>
      <c r="AK693" s="307"/>
      <c r="AL693" s="307"/>
      <c r="AM693" s="307"/>
      <c r="AN693" s="307"/>
      <c r="AO693" s="307"/>
      <c r="AP693" s="307"/>
      <c r="AQ693" s="307"/>
      <c r="AR693" s="307"/>
      <c r="AU693" s="327"/>
      <c r="AV693" s="306"/>
      <c r="AW693" s="306"/>
      <c r="AX693" s="307"/>
      <c r="AY693" s="307"/>
      <c r="AZ693" s="307"/>
      <c r="BA693" s="307"/>
      <c r="BB693" s="307"/>
      <c r="BC693" s="307"/>
      <c r="BD693" s="307"/>
      <c r="BE693" s="301"/>
      <c r="BG693" s="327"/>
      <c r="BH693" s="306"/>
      <c r="BI693" s="306"/>
      <c r="BJ693" s="307"/>
      <c r="BK693" s="307"/>
      <c r="BL693" s="307"/>
      <c r="BM693" s="307"/>
      <c r="BN693" s="307"/>
      <c r="BO693" s="307"/>
      <c r="BP693" s="307"/>
      <c r="BQ693" s="301"/>
    </row>
    <row r="694" spans="7:69" s="302" customFormat="1" ht="11.75" customHeight="1" x14ac:dyDescent="0.15">
      <c r="G694" s="300"/>
      <c r="H694" s="301"/>
      <c r="I694" s="301"/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  <c r="Y694" s="301"/>
      <c r="Z694" s="301"/>
      <c r="AA694" s="301"/>
      <c r="AB694" s="301"/>
      <c r="AC694" s="301"/>
      <c r="AD694" s="301"/>
      <c r="AE694" s="301"/>
      <c r="AH694" s="306"/>
      <c r="AI694" s="306"/>
      <c r="AJ694" s="307"/>
      <c r="AK694" s="307"/>
      <c r="AL694" s="307"/>
      <c r="AM694" s="307"/>
      <c r="AN694" s="307"/>
      <c r="AO694" s="307"/>
      <c r="AP694" s="307"/>
      <c r="AQ694" s="307"/>
      <c r="AR694" s="307"/>
      <c r="AU694" s="306"/>
      <c r="AV694" s="306"/>
      <c r="AW694" s="306"/>
      <c r="AX694" s="307"/>
      <c r="AY694" s="307"/>
      <c r="AZ694" s="307"/>
      <c r="BA694" s="307"/>
      <c r="BB694" s="307"/>
      <c r="BC694" s="307"/>
      <c r="BD694" s="307"/>
      <c r="BE694" s="307"/>
      <c r="BG694" s="306"/>
      <c r="BH694" s="306"/>
      <c r="BI694" s="306"/>
      <c r="BJ694" s="307"/>
      <c r="BK694" s="307"/>
      <c r="BL694" s="307"/>
      <c r="BM694" s="307"/>
      <c r="BN694" s="307"/>
      <c r="BO694" s="307"/>
      <c r="BP694" s="307"/>
      <c r="BQ694" s="307"/>
    </row>
    <row r="695" spans="7:69" s="302" customFormat="1" ht="11.75" customHeight="1" x14ac:dyDescent="0.15">
      <c r="G695" s="300"/>
      <c r="H695" s="301"/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  <c r="Y695" s="301"/>
      <c r="Z695" s="301"/>
      <c r="AA695" s="301"/>
      <c r="AB695" s="301"/>
      <c r="AC695" s="301"/>
      <c r="AD695" s="301"/>
      <c r="AE695" s="301"/>
      <c r="AH695" s="306"/>
      <c r="AI695" s="306"/>
      <c r="AJ695" s="307"/>
      <c r="AK695" s="307"/>
      <c r="AL695" s="307"/>
      <c r="AM695" s="307"/>
      <c r="AN695" s="307"/>
      <c r="AO695" s="307"/>
      <c r="AP695" s="307"/>
      <c r="AQ695" s="307"/>
      <c r="AR695" s="307"/>
      <c r="AU695" s="306"/>
      <c r="AV695" s="306"/>
      <c r="AW695" s="306"/>
      <c r="AX695" s="307"/>
      <c r="AY695" s="307"/>
      <c r="AZ695" s="307"/>
      <c r="BA695" s="307"/>
      <c r="BB695" s="307"/>
      <c r="BC695" s="307"/>
      <c r="BD695" s="307"/>
      <c r="BE695" s="307"/>
      <c r="BG695" s="306"/>
      <c r="BH695" s="306"/>
      <c r="BI695" s="306"/>
      <c r="BJ695" s="307"/>
      <c r="BK695" s="307"/>
      <c r="BL695" s="307"/>
      <c r="BM695" s="307"/>
      <c r="BN695" s="307"/>
      <c r="BO695" s="307"/>
      <c r="BP695" s="307"/>
      <c r="BQ695" s="307"/>
    </row>
    <row r="696" spans="7:69" s="302" customFormat="1" ht="11.75" customHeight="1" x14ac:dyDescent="0.15">
      <c r="G696" s="300"/>
      <c r="H696" s="301"/>
      <c r="I696" s="301"/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  <c r="Y696" s="301"/>
      <c r="Z696" s="301"/>
      <c r="AA696" s="301"/>
      <c r="AB696" s="301"/>
      <c r="AC696" s="301"/>
      <c r="AD696" s="301"/>
      <c r="AE696" s="301"/>
      <c r="AH696" s="306"/>
      <c r="AI696" s="306"/>
      <c r="AJ696" s="307"/>
      <c r="AK696" s="307"/>
      <c r="AL696" s="307"/>
      <c r="AM696" s="307"/>
      <c r="AN696" s="307"/>
      <c r="AO696" s="307"/>
      <c r="AP696" s="307"/>
      <c r="AQ696" s="307"/>
      <c r="AR696" s="307"/>
      <c r="AU696" s="306"/>
      <c r="AV696" s="306"/>
      <c r="AW696" s="306"/>
      <c r="AX696" s="307"/>
      <c r="AY696" s="307"/>
      <c r="AZ696" s="307"/>
      <c r="BA696" s="307"/>
      <c r="BB696" s="307"/>
      <c r="BC696" s="307"/>
      <c r="BD696" s="307"/>
      <c r="BE696" s="307"/>
      <c r="BG696" s="306"/>
      <c r="BH696" s="306"/>
      <c r="BI696" s="306"/>
      <c r="BJ696" s="307"/>
      <c r="BK696" s="307"/>
      <c r="BL696" s="307"/>
      <c r="BM696" s="307"/>
      <c r="BN696" s="307"/>
      <c r="BO696" s="307"/>
      <c r="BP696" s="307"/>
      <c r="BQ696" s="307"/>
    </row>
    <row r="697" spans="7:69" s="302" customFormat="1" ht="11.75" customHeight="1" x14ac:dyDescent="0.15">
      <c r="G697" s="300"/>
      <c r="H697" s="301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  <c r="Y697" s="301"/>
      <c r="Z697" s="301"/>
      <c r="AA697" s="301"/>
      <c r="AB697" s="301"/>
      <c r="AC697" s="301"/>
      <c r="AD697" s="301"/>
      <c r="AE697" s="301"/>
      <c r="AH697" s="306"/>
      <c r="AI697" s="306"/>
      <c r="AJ697" s="307"/>
      <c r="AK697" s="307"/>
      <c r="AL697" s="307"/>
      <c r="AM697" s="307"/>
      <c r="AN697" s="307"/>
      <c r="AO697" s="307"/>
      <c r="AP697" s="307"/>
      <c r="AQ697" s="307"/>
      <c r="AR697" s="307"/>
      <c r="AU697" s="306"/>
      <c r="AV697" s="306"/>
      <c r="AW697" s="306"/>
      <c r="AX697" s="307"/>
      <c r="AY697" s="307"/>
      <c r="AZ697" s="307"/>
      <c r="BA697" s="307"/>
      <c r="BB697" s="307"/>
      <c r="BC697" s="307"/>
      <c r="BD697" s="307"/>
      <c r="BE697" s="307"/>
      <c r="BG697" s="306"/>
      <c r="BH697" s="306"/>
      <c r="BI697" s="306"/>
      <c r="BJ697" s="307"/>
      <c r="BK697" s="307"/>
      <c r="BL697" s="307"/>
      <c r="BM697" s="307"/>
      <c r="BN697" s="307"/>
      <c r="BO697" s="307"/>
      <c r="BP697" s="307"/>
      <c r="BQ697" s="307"/>
    </row>
    <row r="698" spans="7:69" s="302" customFormat="1" ht="11.75" customHeight="1" x14ac:dyDescent="0.15">
      <c r="G698" s="300"/>
      <c r="H698" s="301"/>
      <c r="I698" s="301"/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  <c r="Y698" s="301"/>
      <c r="Z698" s="301"/>
      <c r="AA698" s="301"/>
      <c r="AB698" s="301"/>
      <c r="AC698" s="301"/>
      <c r="AD698" s="301"/>
      <c r="AE698" s="301"/>
      <c r="AH698" s="306"/>
      <c r="AI698" s="306"/>
      <c r="AJ698" s="307"/>
      <c r="AK698" s="307"/>
      <c r="AL698" s="307"/>
      <c r="AM698" s="307"/>
      <c r="AN698" s="307"/>
      <c r="AO698" s="307"/>
      <c r="AP698" s="307"/>
      <c r="AQ698" s="307"/>
      <c r="AR698" s="307"/>
      <c r="AU698" s="306"/>
      <c r="AV698" s="306"/>
      <c r="AW698" s="306"/>
      <c r="AX698" s="307"/>
      <c r="AY698" s="307"/>
      <c r="AZ698" s="307"/>
      <c r="BA698" s="307"/>
      <c r="BB698" s="307"/>
      <c r="BC698" s="307"/>
      <c r="BD698" s="307"/>
      <c r="BE698" s="301"/>
      <c r="BG698" s="306"/>
      <c r="BH698" s="306"/>
      <c r="BI698" s="306"/>
      <c r="BJ698" s="307"/>
      <c r="BK698" s="307"/>
      <c r="BL698" s="307"/>
      <c r="BM698" s="307"/>
      <c r="BN698" s="307"/>
      <c r="BO698" s="307"/>
      <c r="BP698" s="307"/>
      <c r="BQ698" s="301"/>
    </row>
    <row r="699" spans="7:69" s="302" customFormat="1" ht="11.75" customHeight="1" x14ac:dyDescent="0.15">
      <c r="G699" s="300"/>
      <c r="H699" s="301"/>
      <c r="I699" s="301"/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  <c r="Y699" s="301"/>
      <c r="Z699" s="301"/>
      <c r="AA699" s="301"/>
      <c r="AB699" s="301"/>
      <c r="AC699" s="301"/>
      <c r="AD699" s="301"/>
      <c r="AE699" s="301"/>
      <c r="AH699" s="327"/>
      <c r="AI699" s="306"/>
      <c r="AJ699" s="307"/>
      <c r="AK699" s="307"/>
      <c r="AL699" s="307"/>
      <c r="AM699" s="307"/>
      <c r="AN699" s="307"/>
      <c r="AO699" s="307"/>
      <c r="AP699" s="307"/>
      <c r="AQ699" s="307"/>
      <c r="AR699" s="307"/>
      <c r="AU699" s="327"/>
      <c r="AV699" s="306"/>
      <c r="AW699" s="306"/>
      <c r="AX699" s="307"/>
      <c r="AY699" s="307"/>
      <c r="AZ699" s="307"/>
      <c r="BA699" s="307"/>
      <c r="BB699" s="307"/>
      <c r="BC699" s="307"/>
      <c r="BD699" s="307"/>
      <c r="BE699" s="301"/>
      <c r="BG699" s="327"/>
      <c r="BH699" s="306"/>
      <c r="BI699" s="306"/>
      <c r="BJ699" s="307"/>
      <c r="BK699" s="307"/>
      <c r="BL699" s="307"/>
      <c r="BM699" s="307"/>
      <c r="BN699" s="307"/>
      <c r="BO699" s="307"/>
      <c r="BP699" s="307"/>
      <c r="BQ699" s="301"/>
    </row>
    <row r="700" spans="7:69" s="302" customFormat="1" ht="11.75" customHeight="1" x14ac:dyDescent="0.15">
      <c r="G700" s="300"/>
      <c r="H700" s="301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  <c r="Y700" s="301"/>
      <c r="Z700" s="301"/>
      <c r="AA700" s="301"/>
      <c r="AB700" s="301"/>
      <c r="AC700" s="301"/>
      <c r="AD700" s="301"/>
      <c r="AE700" s="301"/>
      <c r="AH700" s="306"/>
      <c r="AI700" s="306"/>
      <c r="AJ700" s="307"/>
      <c r="AK700" s="307"/>
      <c r="AL700" s="307"/>
      <c r="AM700" s="307"/>
      <c r="AN700" s="307"/>
      <c r="AO700" s="307"/>
      <c r="AP700" s="307"/>
      <c r="AQ700" s="307"/>
      <c r="AR700" s="307"/>
      <c r="AU700" s="306"/>
      <c r="AV700" s="306"/>
      <c r="AW700" s="306"/>
      <c r="AX700" s="307"/>
      <c r="AY700" s="307"/>
      <c r="AZ700" s="307"/>
      <c r="BA700" s="307"/>
      <c r="BB700" s="307"/>
      <c r="BC700" s="307"/>
      <c r="BD700" s="307"/>
      <c r="BE700" s="307"/>
      <c r="BG700" s="306"/>
      <c r="BH700" s="306"/>
      <c r="BI700" s="306"/>
      <c r="BJ700" s="307"/>
      <c r="BK700" s="307"/>
      <c r="BL700" s="307"/>
      <c r="BM700" s="307"/>
      <c r="BN700" s="307"/>
      <c r="BO700" s="307"/>
      <c r="BP700" s="307"/>
      <c r="BQ700" s="307"/>
    </row>
    <row r="701" spans="7:69" s="302" customFormat="1" ht="11.75" customHeight="1" x14ac:dyDescent="0.15">
      <c r="G701" s="300"/>
      <c r="H701" s="301"/>
      <c r="I701" s="301"/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  <c r="Y701" s="301"/>
      <c r="Z701" s="301"/>
      <c r="AA701" s="301"/>
      <c r="AB701" s="301"/>
      <c r="AC701" s="301"/>
      <c r="AD701" s="301"/>
      <c r="AE701" s="301"/>
      <c r="AH701" s="306"/>
      <c r="AI701" s="306"/>
      <c r="AJ701" s="307"/>
      <c r="AK701" s="307"/>
      <c r="AL701" s="307"/>
      <c r="AM701" s="307"/>
      <c r="AN701" s="307"/>
      <c r="AO701" s="307"/>
      <c r="AP701" s="307"/>
      <c r="AQ701" s="307"/>
      <c r="AR701" s="307"/>
      <c r="AU701" s="306"/>
      <c r="AV701" s="306"/>
      <c r="AW701" s="306"/>
      <c r="AX701" s="307"/>
      <c r="AY701" s="307"/>
      <c r="AZ701" s="307"/>
      <c r="BA701" s="307"/>
      <c r="BB701" s="307"/>
      <c r="BC701" s="307"/>
      <c r="BD701" s="307"/>
      <c r="BE701" s="307"/>
      <c r="BG701" s="306"/>
      <c r="BH701" s="306"/>
      <c r="BI701" s="306"/>
      <c r="BJ701" s="307"/>
      <c r="BK701" s="307"/>
      <c r="BL701" s="307"/>
      <c r="BM701" s="307"/>
      <c r="BN701" s="307"/>
      <c r="BO701" s="307"/>
      <c r="BP701" s="307"/>
      <c r="BQ701" s="307"/>
    </row>
    <row r="702" spans="7:69" s="302" customFormat="1" ht="11.75" customHeight="1" x14ac:dyDescent="0.15">
      <c r="G702" s="300"/>
      <c r="H702" s="301"/>
      <c r="I702" s="301"/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  <c r="Y702" s="301"/>
      <c r="Z702" s="301"/>
      <c r="AA702" s="301"/>
      <c r="AB702" s="301"/>
      <c r="AC702" s="301"/>
      <c r="AD702" s="301"/>
      <c r="AE702" s="301"/>
      <c r="AH702" s="306"/>
      <c r="AI702" s="306"/>
      <c r="AJ702" s="307"/>
      <c r="AK702" s="307"/>
      <c r="AL702" s="307"/>
      <c r="AM702" s="307"/>
      <c r="AN702" s="307"/>
      <c r="AO702" s="307"/>
      <c r="AP702" s="307"/>
      <c r="AQ702" s="307"/>
      <c r="AR702" s="307"/>
      <c r="AU702" s="306"/>
      <c r="AV702" s="306"/>
      <c r="AW702" s="306"/>
      <c r="AX702" s="307"/>
      <c r="AY702" s="307"/>
      <c r="AZ702" s="307"/>
      <c r="BA702" s="307"/>
      <c r="BB702" s="307"/>
      <c r="BC702" s="307"/>
      <c r="BD702" s="307"/>
      <c r="BE702" s="307"/>
      <c r="BG702" s="306"/>
      <c r="BH702" s="306"/>
      <c r="BI702" s="306"/>
      <c r="BJ702" s="307"/>
      <c r="BK702" s="307"/>
      <c r="BL702" s="307"/>
      <c r="BM702" s="307"/>
      <c r="BN702" s="307"/>
      <c r="BO702" s="307"/>
      <c r="BP702" s="307"/>
      <c r="BQ702" s="307"/>
    </row>
    <row r="703" spans="7:69" s="302" customFormat="1" ht="11.75" customHeight="1" x14ac:dyDescent="0.15">
      <c r="G703" s="300"/>
      <c r="H703" s="301"/>
      <c r="I703" s="301"/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  <c r="Y703" s="301"/>
      <c r="Z703" s="301"/>
      <c r="AA703" s="301"/>
      <c r="AB703" s="301"/>
      <c r="AC703" s="301"/>
      <c r="AD703" s="301"/>
      <c r="AE703" s="301"/>
      <c r="AH703" s="306"/>
      <c r="AI703" s="306"/>
      <c r="AJ703" s="307"/>
      <c r="AK703" s="307"/>
      <c r="AL703" s="307"/>
      <c r="AM703" s="307"/>
      <c r="AN703" s="307"/>
      <c r="AO703" s="307"/>
      <c r="AP703" s="307"/>
      <c r="AQ703" s="307"/>
      <c r="AR703" s="307"/>
      <c r="AU703" s="306"/>
      <c r="AV703" s="306"/>
      <c r="AW703" s="306"/>
      <c r="AX703" s="307"/>
      <c r="AY703" s="307"/>
      <c r="AZ703" s="307"/>
      <c r="BA703" s="307"/>
      <c r="BB703" s="307"/>
      <c r="BC703" s="307"/>
      <c r="BD703" s="307"/>
      <c r="BE703" s="307"/>
      <c r="BG703" s="306"/>
      <c r="BH703" s="306"/>
      <c r="BI703" s="306"/>
      <c r="BJ703" s="307"/>
      <c r="BK703" s="307"/>
      <c r="BL703" s="307"/>
      <c r="BM703" s="307"/>
      <c r="BN703" s="307"/>
      <c r="BO703" s="307"/>
      <c r="BP703" s="307"/>
      <c r="BQ703" s="307"/>
    </row>
    <row r="704" spans="7:69" s="302" customFormat="1" ht="11.75" customHeight="1" x14ac:dyDescent="0.15">
      <c r="G704" s="300"/>
      <c r="H704" s="301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  <c r="Y704" s="301"/>
      <c r="Z704" s="301"/>
      <c r="AA704" s="301"/>
      <c r="AB704" s="301"/>
      <c r="AC704" s="301"/>
      <c r="AD704" s="301"/>
      <c r="AE704" s="301"/>
      <c r="AH704" s="306"/>
      <c r="AI704" s="306"/>
      <c r="AJ704" s="307"/>
      <c r="AK704" s="307"/>
      <c r="AL704" s="307"/>
      <c r="AM704" s="307"/>
      <c r="AN704" s="307"/>
      <c r="AO704" s="307"/>
      <c r="AP704" s="307"/>
      <c r="AQ704" s="307"/>
      <c r="AR704" s="307"/>
      <c r="AU704" s="306"/>
      <c r="AV704" s="306"/>
      <c r="AW704" s="306"/>
      <c r="AX704" s="307"/>
      <c r="AY704" s="307"/>
      <c r="AZ704" s="307"/>
      <c r="BA704" s="307"/>
      <c r="BB704" s="307"/>
      <c r="BC704" s="307"/>
      <c r="BD704" s="307"/>
      <c r="BE704" s="301"/>
      <c r="BG704" s="306"/>
      <c r="BH704" s="306"/>
      <c r="BI704" s="306"/>
      <c r="BJ704" s="307"/>
      <c r="BK704" s="307"/>
      <c r="BL704" s="307"/>
      <c r="BM704" s="307"/>
      <c r="BN704" s="307"/>
      <c r="BO704" s="307"/>
      <c r="BP704" s="307"/>
      <c r="BQ704" s="301"/>
    </row>
    <row r="705" spans="7:69" s="302" customFormat="1" ht="11.75" customHeight="1" x14ac:dyDescent="0.15">
      <c r="G705" s="300"/>
      <c r="H705" s="301"/>
      <c r="I705" s="301"/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  <c r="Y705" s="301"/>
      <c r="Z705" s="301"/>
      <c r="AA705" s="301"/>
      <c r="AB705" s="301"/>
      <c r="AC705" s="301"/>
      <c r="AD705" s="301"/>
      <c r="AE705" s="301"/>
      <c r="AH705" s="306"/>
      <c r="AI705" s="306"/>
      <c r="AJ705" s="307"/>
      <c r="AK705" s="307"/>
      <c r="AL705" s="307"/>
      <c r="AM705" s="307"/>
      <c r="AN705" s="307"/>
      <c r="AO705" s="307"/>
      <c r="AP705" s="307"/>
      <c r="AQ705" s="307"/>
      <c r="AR705" s="307"/>
      <c r="AU705" s="327"/>
      <c r="AV705" s="306"/>
      <c r="AW705" s="306"/>
      <c r="AX705" s="307"/>
      <c r="AY705" s="307"/>
      <c r="AZ705" s="307"/>
      <c r="BA705" s="307"/>
      <c r="BB705" s="307"/>
      <c r="BC705" s="307"/>
      <c r="BD705" s="307"/>
      <c r="BE705" s="301"/>
      <c r="BG705" s="327"/>
      <c r="BH705" s="306"/>
      <c r="BI705" s="306"/>
      <c r="BJ705" s="307"/>
      <c r="BK705" s="307"/>
      <c r="BL705" s="307"/>
      <c r="BM705" s="307"/>
      <c r="BN705" s="307"/>
      <c r="BO705" s="307"/>
      <c r="BP705" s="307"/>
      <c r="BQ705" s="301"/>
    </row>
    <row r="706" spans="7:69" s="302" customFormat="1" ht="11.75" customHeight="1" x14ac:dyDescent="0.15">
      <c r="G706" s="300"/>
      <c r="H706" s="301"/>
      <c r="I706" s="301"/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  <c r="Y706" s="301"/>
      <c r="Z706" s="301"/>
      <c r="AA706" s="301"/>
      <c r="AB706" s="301"/>
      <c r="AC706" s="301"/>
      <c r="AD706" s="301"/>
      <c r="AE706" s="301"/>
      <c r="AH706" s="306"/>
      <c r="AI706" s="306"/>
      <c r="AJ706" s="307"/>
      <c r="AK706" s="307"/>
      <c r="AL706" s="307"/>
      <c r="AM706" s="307"/>
      <c r="AN706" s="307"/>
      <c r="AO706" s="307"/>
      <c r="AP706" s="307"/>
      <c r="AQ706" s="307"/>
      <c r="AR706" s="307"/>
      <c r="AU706" s="306"/>
      <c r="AV706" s="306"/>
      <c r="AW706" s="306"/>
      <c r="AX706" s="307"/>
      <c r="AY706" s="307"/>
      <c r="AZ706" s="307"/>
      <c r="BA706" s="307"/>
      <c r="BB706" s="307"/>
      <c r="BC706" s="307"/>
      <c r="BD706" s="307"/>
      <c r="BE706" s="307"/>
      <c r="BG706" s="306"/>
      <c r="BH706" s="306"/>
      <c r="BI706" s="306"/>
      <c r="BJ706" s="307"/>
      <c r="BK706" s="307"/>
      <c r="BL706" s="307"/>
      <c r="BM706" s="307"/>
      <c r="BN706" s="307"/>
      <c r="BO706" s="307"/>
      <c r="BP706" s="307"/>
      <c r="BQ706" s="307"/>
    </row>
    <row r="707" spans="7:69" s="302" customFormat="1" ht="11.75" customHeight="1" x14ac:dyDescent="0.15">
      <c r="G707" s="300"/>
      <c r="H707" s="301"/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  <c r="Y707" s="301"/>
      <c r="Z707" s="301"/>
      <c r="AA707" s="301"/>
      <c r="AB707" s="301"/>
      <c r="AC707" s="301"/>
      <c r="AD707" s="301"/>
      <c r="AE707" s="301"/>
      <c r="AH707" s="306"/>
      <c r="AI707" s="306"/>
      <c r="AJ707" s="307"/>
      <c r="AK707" s="307"/>
      <c r="AL707" s="307"/>
      <c r="AM707" s="307"/>
      <c r="AN707" s="307"/>
      <c r="AO707" s="307"/>
      <c r="AP707" s="307"/>
      <c r="AQ707" s="307"/>
      <c r="AR707" s="307"/>
      <c r="AU707" s="306"/>
      <c r="AV707" s="306"/>
      <c r="AW707" s="306"/>
      <c r="AX707" s="307"/>
      <c r="AY707" s="307"/>
      <c r="AZ707" s="307"/>
      <c r="BA707" s="307"/>
      <c r="BB707" s="307"/>
      <c r="BC707" s="307"/>
      <c r="BD707" s="307"/>
      <c r="BE707" s="307"/>
      <c r="BG707" s="306"/>
      <c r="BH707" s="306"/>
      <c r="BI707" s="306"/>
      <c r="BJ707" s="307"/>
      <c r="BK707" s="307"/>
      <c r="BL707" s="307"/>
      <c r="BM707" s="307"/>
      <c r="BN707" s="307"/>
      <c r="BO707" s="307"/>
      <c r="BP707" s="307"/>
      <c r="BQ707" s="307"/>
    </row>
    <row r="708" spans="7:69" s="302" customFormat="1" ht="11.75" customHeight="1" x14ac:dyDescent="0.15">
      <c r="G708" s="300"/>
      <c r="H708" s="301"/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  <c r="Y708" s="301"/>
      <c r="Z708" s="301"/>
      <c r="AA708" s="301"/>
      <c r="AB708" s="301"/>
      <c r="AC708" s="301"/>
      <c r="AD708" s="301"/>
      <c r="AE708" s="301"/>
      <c r="AG708" s="331"/>
      <c r="AH708" s="306"/>
      <c r="AI708" s="306"/>
      <c r="AJ708" s="307"/>
      <c r="AK708" s="307"/>
      <c r="AL708" s="307"/>
      <c r="AM708" s="307"/>
      <c r="AN708" s="307"/>
      <c r="AO708" s="307"/>
      <c r="AP708" s="307"/>
      <c r="AQ708" s="307"/>
      <c r="AR708" s="307"/>
      <c r="AU708" s="306"/>
      <c r="AV708" s="306"/>
      <c r="AW708" s="306"/>
      <c r="AX708" s="307"/>
      <c r="AY708" s="307"/>
      <c r="AZ708" s="307"/>
      <c r="BA708" s="307"/>
      <c r="BB708" s="307"/>
      <c r="BC708" s="307"/>
      <c r="BD708" s="307"/>
      <c r="BE708" s="307"/>
      <c r="BG708" s="306"/>
      <c r="BH708" s="306"/>
      <c r="BI708" s="306"/>
      <c r="BJ708" s="307"/>
      <c r="BK708" s="307"/>
      <c r="BL708" s="307"/>
      <c r="BM708" s="307"/>
      <c r="BN708" s="307"/>
      <c r="BO708" s="307"/>
      <c r="BP708" s="307"/>
      <c r="BQ708" s="307"/>
    </row>
    <row r="709" spans="7:69" s="302" customFormat="1" ht="11.75" customHeight="1" x14ac:dyDescent="0.15">
      <c r="G709" s="300"/>
      <c r="H709" s="301"/>
      <c r="I709" s="301"/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  <c r="Y709" s="301"/>
      <c r="Z709" s="301"/>
      <c r="AA709" s="301"/>
      <c r="AB709" s="301"/>
      <c r="AC709" s="301"/>
      <c r="AD709" s="301"/>
      <c r="AE709" s="301"/>
      <c r="AG709" s="332"/>
      <c r="AH709" s="306"/>
      <c r="AI709" s="306"/>
      <c r="AJ709" s="307"/>
      <c r="AK709" s="307"/>
      <c r="AL709" s="307"/>
      <c r="AM709" s="307"/>
      <c r="AN709" s="307"/>
      <c r="AO709" s="307"/>
      <c r="AP709" s="307"/>
      <c r="AQ709" s="307"/>
      <c r="AR709" s="307"/>
      <c r="AU709" s="306"/>
      <c r="AV709" s="306"/>
      <c r="AW709" s="306"/>
      <c r="AX709" s="307"/>
      <c r="AY709" s="307"/>
      <c r="AZ709" s="307"/>
      <c r="BA709" s="307"/>
      <c r="BB709" s="307"/>
      <c r="BC709" s="307"/>
      <c r="BD709" s="307"/>
      <c r="BE709" s="307"/>
      <c r="BG709" s="306"/>
      <c r="BH709" s="306"/>
      <c r="BI709" s="306"/>
      <c r="BJ709" s="307"/>
      <c r="BK709" s="307"/>
      <c r="BL709" s="307"/>
      <c r="BM709" s="307"/>
      <c r="BN709" s="307"/>
      <c r="BO709" s="307"/>
      <c r="BP709" s="307"/>
      <c r="BQ709" s="307"/>
    </row>
    <row r="710" spans="7:69" s="302" customFormat="1" ht="11.75" customHeight="1" x14ac:dyDescent="0.15">
      <c r="G710" s="300"/>
      <c r="H710" s="301"/>
      <c r="I710" s="301"/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  <c r="Y710" s="301"/>
      <c r="Z710" s="301"/>
      <c r="AA710" s="301"/>
      <c r="AB710" s="301"/>
      <c r="AC710" s="301"/>
      <c r="AD710" s="301"/>
      <c r="AE710" s="301"/>
      <c r="AG710" s="332"/>
      <c r="AH710" s="306"/>
      <c r="AI710" s="306"/>
      <c r="AJ710" s="307"/>
      <c r="AK710" s="307"/>
      <c r="AL710" s="307"/>
      <c r="AM710" s="307"/>
      <c r="AN710" s="307"/>
      <c r="AO710" s="307"/>
      <c r="AP710" s="307"/>
      <c r="AQ710" s="307"/>
      <c r="AR710" s="307"/>
      <c r="AU710" s="306"/>
      <c r="AV710" s="306"/>
      <c r="AW710" s="306"/>
      <c r="AX710" s="307"/>
      <c r="AY710" s="307"/>
      <c r="AZ710" s="307"/>
      <c r="BA710" s="307"/>
      <c r="BB710" s="307"/>
      <c r="BC710" s="307"/>
      <c r="BD710" s="307"/>
      <c r="BE710" s="301"/>
      <c r="BG710" s="306"/>
      <c r="BH710" s="306"/>
      <c r="BI710" s="306"/>
      <c r="BJ710" s="307"/>
      <c r="BK710" s="307"/>
      <c r="BL710" s="307"/>
      <c r="BM710" s="307"/>
      <c r="BN710" s="307"/>
      <c r="BO710" s="307"/>
      <c r="BP710" s="307"/>
      <c r="BQ710" s="301"/>
    </row>
    <row r="711" spans="7:69" s="302" customFormat="1" ht="11.75" customHeight="1" x14ac:dyDescent="0.15">
      <c r="G711" s="300"/>
      <c r="H711" s="301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  <c r="Y711" s="301"/>
      <c r="Z711" s="301"/>
      <c r="AA711" s="301"/>
      <c r="AB711" s="301"/>
      <c r="AC711" s="301"/>
      <c r="AD711" s="301"/>
      <c r="AE711" s="301"/>
      <c r="AG711" s="332"/>
      <c r="AH711" s="306"/>
      <c r="AI711" s="306"/>
      <c r="AJ711" s="307"/>
      <c r="AK711" s="333"/>
      <c r="AL711" s="333"/>
      <c r="AM711" s="333"/>
      <c r="AN711" s="333"/>
      <c r="AO711" s="333"/>
      <c r="AP711" s="333"/>
      <c r="AQ711" s="333"/>
      <c r="AR711" s="333"/>
      <c r="AU711" s="327"/>
      <c r="AV711" s="306"/>
      <c r="AW711" s="306"/>
      <c r="AX711" s="307"/>
      <c r="AY711" s="307"/>
      <c r="AZ711" s="307"/>
      <c r="BA711" s="307"/>
      <c r="BB711" s="307"/>
      <c r="BC711" s="307"/>
      <c r="BD711" s="307"/>
      <c r="BE711" s="301"/>
      <c r="BG711" s="327"/>
      <c r="BH711" s="306"/>
      <c r="BI711" s="306"/>
      <c r="BJ711" s="307"/>
      <c r="BK711" s="307"/>
      <c r="BL711" s="307"/>
      <c r="BM711" s="307"/>
      <c r="BN711" s="307"/>
      <c r="BO711" s="307"/>
      <c r="BP711" s="307"/>
      <c r="BQ711" s="301"/>
    </row>
    <row r="712" spans="7:69" s="302" customFormat="1" ht="11.75" customHeight="1" x14ac:dyDescent="0.15">
      <c r="G712" s="300"/>
      <c r="H712" s="301"/>
      <c r="I712" s="301"/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  <c r="Y712" s="301"/>
      <c r="Z712" s="301"/>
      <c r="AA712" s="301"/>
      <c r="AB712" s="301"/>
      <c r="AC712" s="301"/>
      <c r="AD712" s="301"/>
      <c r="AE712" s="301"/>
      <c r="AG712" s="332"/>
      <c r="AH712" s="306"/>
      <c r="AI712" s="306"/>
      <c r="AJ712" s="307"/>
      <c r="AK712" s="307"/>
      <c r="AL712" s="307"/>
      <c r="AM712" s="307"/>
      <c r="AN712" s="307"/>
      <c r="AO712" s="307"/>
      <c r="AP712" s="307"/>
      <c r="AQ712" s="307"/>
      <c r="AR712" s="307"/>
      <c r="AU712" s="306"/>
      <c r="AV712" s="306"/>
      <c r="AW712" s="306"/>
      <c r="AX712" s="307"/>
      <c r="AY712" s="307"/>
      <c r="AZ712" s="307"/>
      <c r="BA712" s="307"/>
      <c r="BB712" s="307"/>
      <c r="BC712" s="307"/>
      <c r="BD712" s="307"/>
      <c r="BE712" s="307"/>
      <c r="BG712" s="306"/>
      <c r="BH712" s="306"/>
      <c r="BI712" s="306"/>
      <c r="BJ712" s="307"/>
      <c r="BK712" s="307"/>
      <c r="BL712" s="307"/>
      <c r="BM712" s="307"/>
      <c r="BN712" s="307"/>
      <c r="BO712" s="307"/>
      <c r="BP712" s="307"/>
      <c r="BQ712" s="307"/>
    </row>
    <row r="713" spans="7:69" s="302" customFormat="1" ht="11.75" customHeight="1" x14ac:dyDescent="0.15">
      <c r="G713" s="300"/>
      <c r="H713" s="301"/>
      <c r="I713" s="301"/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  <c r="Y713" s="301"/>
      <c r="Z713" s="301"/>
      <c r="AA713" s="301"/>
      <c r="AB713" s="301"/>
      <c r="AC713" s="301"/>
      <c r="AD713" s="301"/>
      <c r="AE713" s="301"/>
      <c r="AG713" s="332"/>
      <c r="AH713" s="306"/>
      <c r="AI713" s="306"/>
      <c r="AJ713" s="307"/>
      <c r="AK713" s="307"/>
      <c r="AL713" s="307"/>
      <c r="AM713" s="307"/>
      <c r="AN713" s="307"/>
      <c r="AO713" s="307"/>
      <c r="AP713" s="307"/>
      <c r="AQ713" s="307"/>
      <c r="AR713" s="307"/>
      <c r="AU713" s="306"/>
      <c r="AV713" s="306"/>
      <c r="AW713" s="306"/>
      <c r="AX713" s="307"/>
      <c r="AY713" s="307"/>
      <c r="AZ713" s="307"/>
      <c r="BA713" s="307"/>
      <c r="BB713" s="307"/>
      <c r="BC713" s="307"/>
      <c r="BD713" s="307"/>
      <c r="BE713" s="307"/>
      <c r="BG713" s="306"/>
      <c r="BH713" s="306"/>
      <c r="BI713" s="306"/>
      <c r="BJ713" s="307"/>
      <c r="BK713" s="307"/>
      <c r="BL713" s="307"/>
      <c r="BM713" s="307"/>
      <c r="BN713" s="307"/>
      <c r="BO713" s="307"/>
      <c r="BP713" s="307"/>
      <c r="BQ713" s="307"/>
    </row>
    <row r="714" spans="7:69" s="302" customFormat="1" ht="11.75" customHeight="1" x14ac:dyDescent="0.15">
      <c r="G714" s="300"/>
      <c r="H714" s="301"/>
      <c r="I714" s="301"/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  <c r="Y714" s="301"/>
      <c r="Z714" s="301"/>
      <c r="AA714" s="301"/>
      <c r="AB714" s="301"/>
      <c r="AC714" s="301"/>
      <c r="AD714" s="301"/>
      <c r="AE714" s="301"/>
      <c r="AG714" s="332"/>
      <c r="AH714" s="306"/>
      <c r="AI714" s="306"/>
      <c r="AJ714" s="307"/>
      <c r="AK714" s="307"/>
      <c r="AL714" s="307"/>
      <c r="AM714" s="307"/>
      <c r="AN714" s="307"/>
      <c r="AO714" s="307"/>
      <c r="AP714" s="307"/>
      <c r="AQ714" s="307"/>
      <c r="AR714" s="307"/>
      <c r="AU714" s="306"/>
      <c r="AV714" s="306"/>
      <c r="AW714" s="306"/>
      <c r="AX714" s="307"/>
      <c r="AY714" s="307"/>
      <c r="AZ714" s="307"/>
      <c r="BA714" s="307"/>
      <c r="BB714" s="307"/>
      <c r="BC714" s="307"/>
      <c r="BD714" s="307"/>
      <c r="BE714" s="307"/>
      <c r="BG714" s="306"/>
      <c r="BH714" s="306"/>
      <c r="BI714" s="306"/>
      <c r="BJ714" s="307"/>
      <c r="BK714" s="307"/>
      <c r="BL714" s="307"/>
      <c r="BM714" s="307"/>
      <c r="BN714" s="307"/>
      <c r="BO714" s="307"/>
      <c r="BP714" s="307"/>
      <c r="BQ714" s="307"/>
    </row>
    <row r="715" spans="7:69" s="302" customFormat="1" ht="11.75" customHeight="1" x14ac:dyDescent="0.15">
      <c r="G715" s="300"/>
      <c r="H715" s="301"/>
      <c r="I715" s="301"/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  <c r="Y715" s="301"/>
      <c r="Z715" s="301"/>
      <c r="AA715" s="301"/>
      <c r="AB715" s="301"/>
      <c r="AC715" s="301"/>
      <c r="AD715" s="301"/>
      <c r="AE715" s="301"/>
      <c r="AG715" s="331"/>
      <c r="AH715" s="306"/>
      <c r="AI715" s="306"/>
      <c r="AJ715" s="307"/>
      <c r="AK715" s="307"/>
      <c r="AL715" s="307"/>
      <c r="AM715" s="307"/>
      <c r="AN715" s="307"/>
      <c r="AO715" s="307"/>
      <c r="AP715" s="307"/>
      <c r="AQ715" s="307"/>
      <c r="AR715" s="307"/>
      <c r="AU715" s="306"/>
      <c r="AV715" s="306"/>
      <c r="AW715" s="306"/>
      <c r="AX715" s="307"/>
      <c r="AY715" s="307"/>
      <c r="AZ715" s="307"/>
      <c r="BA715" s="307"/>
      <c r="BB715" s="307"/>
      <c r="BC715" s="307"/>
      <c r="BD715" s="307"/>
      <c r="BE715" s="307"/>
      <c r="BG715" s="306"/>
      <c r="BH715" s="306"/>
      <c r="BI715" s="306"/>
      <c r="BJ715" s="307"/>
      <c r="BK715" s="307"/>
      <c r="BL715" s="307"/>
      <c r="BM715" s="307"/>
      <c r="BN715" s="307"/>
      <c r="BO715" s="307"/>
      <c r="BP715" s="307"/>
      <c r="BQ715" s="307"/>
    </row>
    <row r="716" spans="7:69" s="302" customFormat="1" ht="11.75" customHeight="1" x14ac:dyDescent="0.15">
      <c r="G716" s="300"/>
      <c r="H716" s="301"/>
      <c r="I716" s="301"/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  <c r="Y716" s="301"/>
      <c r="Z716" s="301"/>
      <c r="AA716" s="301"/>
      <c r="AB716" s="301"/>
      <c r="AC716" s="301"/>
      <c r="AD716" s="301"/>
      <c r="AE716" s="301"/>
      <c r="AG716" s="332"/>
      <c r="AH716" s="306"/>
      <c r="AI716" s="306"/>
      <c r="AJ716" s="307"/>
      <c r="AK716" s="307"/>
      <c r="AL716" s="307"/>
      <c r="AM716" s="307"/>
      <c r="AN716" s="307"/>
      <c r="AO716" s="307"/>
      <c r="AP716" s="307"/>
      <c r="AQ716" s="307"/>
      <c r="AR716" s="307"/>
      <c r="AU716" s="306"/>
      <c r="AV716" s="306"/>
      <c r="AW716" s="306"/>
      <c r="AX716" s="307"/>
      <c r="AY716" s="307"/>
      <c r="AZ716" s="307"/>
      <c r="BA716" s="307"/>
      <c r="BB716" s="307"/>
      <c r="BC716" s="307"/>
      <c r="BD716" s="307"/>
      <c r="BE716" s="301"/>
      <c r="BG716" s="306"/>
      <c r="BH716" s="306"/>
      <c r="BI716" s="306"/>
      <c r="BJ716" s="307"/>
      <c r="BK716" s="307"/>
      <c r="BL716" s="307"/>
      <c r="BM716" s="307"/>
      <c r="BN716" s="307"/>
      <c r="BO716" s="307"/>
      <c r="BP716" s="307"/>
      <c r="BQ716" s="301"/>
    </row>
    <row r="717" spans="7:69" s="302" customFormat="1" ht="11.75" customHeight="1" x14ac:dyDescent="0.15">
      <c r="G717" s="300"/>
      <c r="H717" s="301"/>
      <c r="I717" s="301"/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  <c r="Y717" s="301"/>
      <c r="Z717" s="301"/>
      <c r="AA717" s="301"/>
      <c r="AB717" s="301"/>
      <c r="AC717" s="301"/>
      <c r="AD717" s="301"/>
      <c r="AE717" s="301"/>
      <c r="AG717" s="332"/>
      <c r="AH717" s="306"/>
      <c r="AI717" s="306"/>
      <c r="AJ717" s="307"/>
      <c r="AK717" s="307"/>
      <c r="AL717" s="307"/>
      <c r="AM717" s="307"/>
      <c r="AN717" s="307"/>
      <c r="AO717" s="307"/>
      <c r="AP717" s="307"/>
      <c r="AQ717" s="307"/>
      <c r="AR717" s="307"/>
      <c r="AU717" s="327"/>
      <c r="AV717" s="306"/>
      <c r="AW717" s="306"/>
      <c r="AX717" s="307"/>
      <c r="AY717" s="307"/>
      <c r="AZ717" s="307"/>
      <c r="BA717" s="307"/>
      <c r="BB717" s="307"/>
      <c r="BC717" s="307"/>
      <c r="BD717" s="307"/>
      <c r="BE717" s="301"/>
      <c r="BG717" s="327"/>
      <c r="BH717" s="306"/>
      <c r="BI717" s="306"/>
      <c r="BJ717" s="307"/>
      <c r="BK717" s="307"/>
      <c r="BL717" s="307"/>
      <c r="BM717" s="307"/>
      <c r="BN717" s="307"/>
      <c r="BO717" s="307"/>
      <c r="BP717" s="307"/>
      <c r="BQ717" s="301"/>
    </row>
    <row r="718" spans="7:69" s="302" customFormat="1" ht="11.75" customHeight="1" x14ac:dyDescent="0.15">
      <c r="G718" s="300"/>
      <c r="H718" s="301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  <c r="Y718" s="301"/>
      <c r="Z718" s="301"/>
      <c r="AA718" s="301"/>
      <c r="AB718" s="301"/>
      <c r="AC718" s="301"/>
      <c r="AD718" s="301"/>
      <c r="AE718" s="301"/>
      <c r="AG718" s="332"/>
      <c r="AH718" s="306"/>
      <c r="AI718" s="306"/>
      <c r="AJ718" s="307"/>
      <c r="AK718" s="333"/>
      <c r="AL718" s="333"/>
      <c r="AM718" s="333"/>
      <c r="AN718" s="333"/>
      <c r="AO718" s="333"/>
      <c r="AP718" s="333"/>
      <c r="AQ718" s="333"/>
      <c r="AR718" s="333"/>
      <c r="AU718" s="306"/>
      <c r="AV718" s="306"/>
      <c r="AW718" s="306"/>
      <c r="AX718" s="307"/>
      <c r="AY718" s="307"/>
      <c r="AZ718" s="307"/>
      <c r="BA718" s="307"/>
      <c r="BB718" s="307"/>
      <c r="BC718" s="307"/>
      <c r="BD718" s="307"/>
      <c r="BE718" s="307"/>
      <c r="BG718" s="306"/>
      <c r="BH718" s="306"/>
      <c r="BI718" s="306"/>
      <c r="BJ718" s="307"/>
      <c r="BK718" s="307"/>
      <c r="BL718" s="307"/>
      <c r="BM718" s="307"/>
      <c r="BN718" s="307"/>
      <c r="BO718" s="307"/>
      <c r="BP718" s="307"/>
      <c r="BQ718" s="307"/>
    </row>
    <row r="719" spans="7:69" s="302" customFormat="1" ht="11.75" customHeight="1" x14ac:dyDescent="0.15">
      <c r="G719" s="300"/>
      <c r="H719" s="301"/>
      <c r="I719" s="301"/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  <c r="Y719" s="301"/>
      <c r="Z719" s="301"/>
      <c r="AA719" s="301"/>
      <c r="AB719" s="301"/>
      <c r="AC719" s="301"/>
      <c r="AD719" s="301"/>
      <c r="AE719" s="301"/>
      <c r="AG719" s="332"/>
      <c r="AH719" s="306"/>
      <c r="AI719" s="306"/>
      <c r="AJ719" s="307"/>
      <c r="AK719" s="307"/>
      <c r="AL719" s="307"/>
      <c r="AM719" s="307"/>
      <c r="AN719" s="307"/>
      <c r="AO719" s="307"/>
      <c r="AP719" s="307"/>
      <c r="AQ719" s="307"/>
      <c r="AR719" s="307"/>
      <c r="AU719" s="306"/>
      <c r="AV719" s="306"/>
      <c r="AW719" s="306"/>
      <c r="AX719" s="307"/>
      <c r="AY719" s="307"/>
      <c r="AZ719" s="307"/>
      <c r="BA719" s="307"/>
      <c r="BB719" s="307"/>
      <c r="BC719" s="307"/>
      <c r="BD719" s="307"/>
      <c r="BE719" s="307"/>
      <c r="BG719" s="306"/>
      <c r="BH719" s="306"/>
      <c r="BI719" s="306"/>
      <c r="BJ719" s="307"/>
      <c r="BK719" s="307"/>
      <c r="BL719" s="307"/>
      <c r="BM719" s="307"/>
      <c r="BN719" s="307"/>
      <c r="BO719" s="307"/>
      <c r="BP719" s="307"/>
      <c r="BQ719" s="307"/>
    </row>
    <row r="720" spans="7:69" s="302" customFormat="1" ht="11.75" customHeight="1" x14ac:dyDescent="0.15">
      <c r="G720" s="300"/>
      <c r="H720" s="301"/>
      <c r="I720" s="301"/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  <c r="Y720" s="301"/>
      <c r="Z720" s="301"/>
      <c r="AA720" s="301"/>
      <c r="AB720" s="301"/>
      <c r="AC720" s="301"/>
      <c r="AD720" s="301"/>
      <c r="AE720" s="301"/>
      <c r="AG720" s="332"/>
      <c r="AH720" s="306"/>
      <c r="AI720" s="306"/>
      <c r="AJ720" s="307"/>
      <c r="AK720" s="307"/>
      <c r="AL720" s="307"/>
      <c r="AM720" s="307"/>
      <c r="AN720" s="307"/>
      <c r="AO720" s="307"/>
      <c r="AP720" s="307"/>
      <c r="AQ720" s="307"/>
      <c r="AR720" s="307"/>
      <c r="AU720" s="306"/>
      <c r="AV720" s="306"/>
      <c r="AW720" s="306"/>
      <c r="AX720" s="307"/>
      <c r="AY720" s="307"/>
      <c r="AZ720" s="307"/>
      <c r="BA720" s="307"/>
      <c r="BB720" s="307"/>
      <c r="BC720" s="307"/>
      <c r="BD720" s="307"/>
      <c r="BE720" s="307"/>
      <c r="BG720" s="306"/>
      <c r="BH720" s="306"/>
      <c r="BI720" s="306"/>
      <c r="BJ720" s="307"/>
      <c r="BK720" s="307"/>
      <c r="BL720" s="307"/>
      <c r="BM720" s="307"/>
      <c r="BN720" s="307"/>
      <c r="BO720" s="307"/>
      <c r="BP720" s="307"/>
      <c r="BQ720" s="307"/>
    </row>
    <row r="721" spans="7:69" s="302" customFormat="1" ht="11.75" customHeight="1" x14ac:dyDescent="0.15">
      <c r="G721" s="300"/>
      <c r="H721" s="301"/>
      <c r="I721" s="301"/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  <c r="Y721" s="301"/>
      <c r="Z721" s="301"/>
      <c r="AA721" s="301"/>
      <c r="AB721" s="301"/>
      <c r="AC721" s="301"/>
      <c r="AD721" s="301"/>
      <c r="AE721" s="301"/>
      <c r="AG721" s="332"/>
      <c r="AH721" s="306"/>
      <c r="AI721" s="306"/>
      <c r="AJ721" s="307"/>
      <c r="AK721" s="307"/>
      <c r="AL721" s="307"/>
      <c r="AM721" s="307"/>
      <c r="AN721" s="307"/>
      <c r="AO721" s="307"/>
      <c r="AP721" s="307"/>
      <c r="AQ721" s="307"/>
      <c r="AR721" s="307"/>
      <c r="AU721" s="306"/>
      <c r="AV721" s="306"/>
      <c r="AW721" s="306"/>
      <c r="AX721" s="307"/>
      <c r="AY721" s="307"/>
      <c r="AZ721" s="307"/>
      <c r="BA721" s="307"/>
      <c r="BB721" s="307"/>
      <c r="BC721" s="307"/>
      <c r="BD721" s="307"/>
      <c r="BE721" s="307"/>
      <c r="BG721" s="306"/>
      <c r="BH721" s="306"/>
      <c r="BI721" s="306"/>
      <c r="BJ721" s="307"/>
      <c r="BK721" s="307"/>
      <c r="BL721" s="307"/>
      <c r="BM721" s="307"/>
      <c r="BN721" s="307"/>
      <c r="BO721" s="307"/>
      <c r="BP721" s="307"/>
      <c r="BQ721" s="307"/>
    </row>
    <row r="722" spans="7:69" s="302" customFormat="1" ht="11.75" customHeight="1" x14ac:dyDescent="0.15">
      <c r="G722" s="300"/>
      <c r="H722" s="301"/>
      <c r="I722" s="301"/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  <c r="Y722" s="301"/>
      <c r="Z722" s="301"/>
      <c r="AA722" s="301"/>
      <c r="AB722" s="301"/>
      <c r="AC722" s="301"/>
      <c r="AD722" s="301"/>
      <c r="AE722" s="301"/>
      <c r="AH722" s="303"/>
      <c r="AI722" s="303"/>
      <c r="AJ722" s="303"/>
      <c r="AK722" s="303"/>
      <c r="AL722" s="303"/>
      <c r="AM722" s="303"/>
      <c r="AN722" s="303"/>
      <c r="AU722" s="306"/>
      <c r="AV722" s="306"/>
      <c r="AW722" s="306"/>
      <c r="AX722" s="307"/>
      <c r="AY722" s="307"/>
      <c r="AZ722" s="307"/>
      <c r="BA722" s="307"/>
      <c r="BB722" s="307"/>
      <c r="BC722" s="307"/>
      <c r="BD722" s="307"/>
      <c r="BE722" s="301"/>
      <c r="BG722" s="306"/>
      <c r="BH722" s="306"/>
      <c r="BI722" s="306"/>
      <c r="BJ722" s="307"/>
      <c r="BK722" s="307"/>
      <c r="BL722" s="307"/>
      <c r="BM722" s="307"/>
      <c r="BN722" s="307"/>
      <c r="BO722" s="307"/>
      <c r="BP722" s="307"/>
      <c r="BQ722" s="301"/>
    </row>
    <row r="723" spans="7:69" s="302" customFormat="1" ht="11.75" customHeight="1" x14ac:dyDescent="0.15">
      <c r="G723" s="300"/>
      <c r="H723" s="301"/>
      <c r="I723" s="301"/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  <c r="Y723" s="301"/>
      <c r="Z723" s="301"/>
      <c r="AA723" s="301"/>
      <c r="AB723" s="301"/>
      <c r="AC723" s="301"/>
      <c r="AD723" s="301"/>
      <c r="AE723" s="301"/>
      <c r="AH723" s="303"/>
      <c r="AI723" s="303"/>
      <c r="AJ723" s="303"/>
      <c r="AK723" s="303"/>
      <c r="AL723" s="303"/>
      <c r="AM723" s="303"/>
      <c r="AN723" s="303"/>
      <c r="AU723" s="327"/>
      <c r="AV723" s="306"/>
      <c r="AW723" s="306"/>
      <c r="AX723" s="307"/>
      <c r="AY723" s="307"/>
      <c r="AZ723" s="307"/>
      <c r="BA723" s="307"/>
      <c r="BB723" s="307"/>
      <c r="BC723" s="307"/>
      <c r="BD723" s="307"/>
      <c r="BE723" s="301"/>
      <c r="BG723" s="327"/>
      <c r="BH723" s="306"/>
      <c r="BI723" s="306"/>
      <c r="BJ723" s="307"/>
      <c r="BK723" s="307"/>
      <c r="BL723" s="307"/>
      <c r="BM723" s="307"/>
      <c r="BN723" s="307"/>
      <c r="BO723" s="307"/>
      <c r="BP723" s="307"/>
      <c r="BQ723" s="301"/>
    </row>
    <row r="724" spans="7:69" s="302" customFormat="1" ht="11.75" customHeight="1" x14ac:dyDescent="0.15">
      <c r="G724" s="300"/>
      <c r="H724" s="301"/>
      <c r="I724" s="301"/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  <c r="Y724" s="301"/>
      <c r="Z724" s="301"/>
      <c r="AA724" s="301"/>
      <c r="AB724" s="301"/>
      <c r="AC724" s="301"/>
      <c r="AD724" s="301"/>
      <c r="AE724" s="301"/>
      <c r="AH724" s="303"/>
      <c r="AI724" s="303"/>
      <c r="AJ724" s="303"/>
      <c r="AK724" s="303"/>
      <c r="AL724" s="303"/>
      <c r="AM724" s="303"/>
      <c r="AN724" s="303"/>
      <c r="AU724" s="306"/>
      <c r="AV724" s="306"/>
      <c r="AW724" s="306"/>
      <c r="AX724" s="307"/>
      <c r="AY724" s="307"/>
      <c r="AZ724" s="307"/>
      <c r="BA724" s="307"/>
      <c r="BB724" s="307"/>
      <c r="BC724" s="307"/>
      <c r="BD724" s="307"/>
      <c r="BE724" s="307"/>
      <c r="BG724" s="306"/>
      <c r="BH724" s="306"/>
      <c r="BI724" s="306"/>
      <c r="BJ724" s="307"/>
      <c r="BK724" s="307"/>
      <c r="BL724" s="307"/>
      <c r="BM724" s="307"/>
      <c r="BN724" s="307"/>
      <c r="BO724" s="307"/>
      <c r="BP724" s="307"/>
      <c r="BQ724" s="307"/>
    </row>
    <row r="725" spans="7:69" s="302" customFormat="1" ht="11.75" customHeight="1" x14ac:dyDescent="0.15">
      <c r="G725" s="300"/>
      <c r="H725" s="301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  <c r="Y725" s="301"/>
      <c r="Z725" s="301"/>
      <c r="AA725" s="301"/>
      <c r="AB725" s="301"/>
      <c r="AC725" s="301"/>
      <c r="AD725" s="301"/>
      <c r="AE725" s="301"/>
      <c r="AH725" s="303"/>
      <c r="AI725" s="303"/>
      <c r="AJ725" s="303"/>
      <c r="AK725" s="303"/>
      <c r="AL725" s="303"/>
      <c r="AM725" s="303"/>
      <c r="AN725" s="303"/>
      <c r="AU725" s="306"/>
      <c r="AV725" s="306"/>
      <c r="AW725" s="306"/>
      <c r="AX725" s="307"/>
      <c r="AY725" s="307"/>
      <c r="AZ725" s="307"/>
      <c r="BA725" s="307"/>
      <c r="BB725" s="307"/>
      <c r="BC725" s="307"/>
      <c r="BD725" s="307"/>
      <c r="BE725" s="307"/>
      <c r="BG725" s="306"/>
      <c r="BH725" s="306"/>
      <c r="BI725" s="306"/>
      <c r="BJ725" s="307"/>
      <c r="BK725" s="307"/>
      <c r="BL725" s="307"/>
      <c r="BM725" s="307"/>
      <c r="BN725" s="307"/>
      <c r="BO725" s="307"/>
      <c r="BP725" s="307"/>
      <c r="BQ725" s="307"/>
    </row>
    <row r="726" spans="7:69" s="302" customFormat="1" ht="11.75" customHeight="1" x14ac:dyDescent="0.15">
      <c r="G726" s="300"/>
      <c r="H726" s="301"/>
      <c r="I726" s="301"/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  <c r="Y726" s="301"/>
      <c r="Z726" s="301"/>
      <c r="AA726" s="301"/>
      <c r="AB726" s="301"/>
      <c r="AC726" s="301"/>
      <c r="AD726" s="301"/>
      <c r="AE726" s="301"/>
      <c r="AH726" s="317"/>
      <c r="AI726" s="303"/>
      <c r="AJ726" s="303"/>
      <c r="AK726" s="303"/>
      <c r="AL726" s="303"/>
      <c r="AM726" s="303"/>
      <c r="AN726" s="303"/>
      <c r="AU726" s="306"/>
      <c r="AV726" s="306"/>
      <c r="AW726" s="306"/>
      <c r="AX726" s="307"/>
      <c r="AY726" s="307"/>
      <c r="AZ726" s="307"/>
      <c r="BA726" s="307"/>
      <c r="BB726" s="307"/>
      <c r="BC726" s="307"/>
      <c r="BD726" s="307"/>
      <c r="BE726" s="307"/>
      <c r="BG726" s="306"/>
      <c r="BH726" s="306"/>
      <c r="BI726" s="306"/>
      <c r="BJ726" s="307"/>
      <c r="BK726" s="307"/>
      <c r="BL726" s="307"/>
      <c r="BM726" s="307"/>
      <c r="BN726" s="307"/>
      <c r="BO726" s="307"/>
      <c r="BP726" s="307"/>
      <c r="BQ726" s="307"/>
    </row>
    <row r="727" spans="7:69" s="302" customFormat="1" ht="11.75" customHeight="1" x14ac:dyDescent="0.15">
      <c r="G727" s="300"/>
      <c r="H727" s="301"/>
      <c r="I727" s="301"/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  <c r="Y727" s="301"/>
      <c r="Z727" s="301"/>
      <c r="AA727" s="301"/>
      <c r="AB727" s="301"/>
      <c r="AC727" s="301"/>
      <c r="AD727" s="301"/>
      <c r="AE727" s="301"/>
      <c r="AH727" s="303"/>
      <c r="AI727" s="303"/>
      <c r="AJ727" s="303"/>
      <c r="AK727" s="303"/>
      <c r="AL727" s="303"/>
      <c r="AM727" s="303"/>
      <c r="AN727" s="303"/>
      <c r="AU727" s="306"/>
      <c r="AV727" s="306"/>
      <c r="AW727" s="306"/>
      <c r="AX727" s="307"/>
      <c r="AY727" s="307"/>
      <c r="AZ727" s="307"/>
      <c r="BA727" s="307"/>
      <c r="BB727" s="307"/>
      <c r="BC727" s="307"/>
      <c r="BD727" s="307"/>
      <c r="BE727" s="307"/>
      <c r="BG727" s="306"/>
      <c r="BH727" s="306"/>
      <c r="BI727" s="306"/>
      <c r="BJ727" s="307"/>
      <c r="BK727" s="307"/>
      <c r="BL727" s="307"/>
      <c r="BM727" s="307"/>
      <c r="BN727" s="307"/>
      <c r="BO727" s="307"/>
      <c r="BP727" s="307"/>
      <c r="BQ727" s="307"/>
    </row>
    <row r="728" spans="7:69" s="302" customFormat="1" ht="11.75" customHeight="1" x14ac:dyDescent="0.15">
      <c r="G728" s="300"/>
      <c r="H728" s="301"/>
      <c r="I728" s="301"/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  <c r="Y728" s="301"/>
      <c r="Z728" s="301"/>
      <c r="AA728" s="301"/>
      <c r="AB728" s="301"/>
      <c r="AC728" s="301"/>
      <c r="AD728" s="301"/>
      <c r="AE728" s="301"/>
      <c r="AH728" s="306"/>
      <c r="AI728" s="306"/>
      <c r="AJ728" s="307"/>
      <c r="AK728" s="310"/>
      <c r="AL728" s="310"/>
      <c r="AM728" s="310"/>
      <c r="AN728" s="310"/>
      <c r="AO728" s="310"/>
      <c r="AP728" s="310"/>
      <c r="AQ728" s="310"/>
      <c r="AR728" s="310"/>
      <c r="AU728" s="306"/>
      <c r="AV728" s="306"/>
      <c r="AW728" s="306"/>
      <c r="AX728" s="307"/>
      <c r="AY728" s="307"/>
      <c r="AZ728" s="307"/>
      <c r="BA728" s="307"/>
      <c r="BB728" s="307"/>
      <c r="BC728" s="307"/>
      <c r="BD728" s="307"/>
      <c r="BE728" s="301"/>
      <c r="BG728" s="306"/>
      <c r="BH728" s="306"/>
      <c r="BI728" s="306"/>
      <c r="BJ728" s="307"/>
      <c r="BK728" s="307"/>
      <c r="BL728" s="307"/>
      <c r="BM728" s="307"/>
      <c r="BN728" s="307"/>
      <c r="BO728" s="307"/>
      <c r="BP728" s="307"/>
      <c r="BQ728" s="301"/>
    </row>
    <row r="729" spans="7:69" s="302" customFormat="1" ht="11.75" customHeight="1" x14ac:dyDescent="0.15">
      <c r="G729" s="300"/>
      <c r="H729" s="301"/>
      <c r="I729" s="301"/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  <c r="Y729" s="301"/>
      <c r="Z729" s="301"/>
      <c r="AA729" s="301"/>
      <c r="AB729" s="301"/>
      <c r="AC729" s="301"/>
      <c r="AD729" s="301"/>
      <c r="AE729" s="301"/>
      <c r="AH729" s="306"/>
      <c r="AI729" s="306"/>
      <c r="AJ729" s="307"/>
      <c r="AK729" s="310"/>
      <c r="AL729" s="310"/>
      <c r="AM729" s="310"/>
      <c r="AN729" s="310"/>
      <c r="AO729" s="310"/>
      <c r="AP729" s="310"/>
      <c r="AQ729" s="310"/>
      <c r="AR729" s="310"/>
      <c r="AU729" s="327"/>
      <c r="AV729" s="306"/>
      <c r="AW729" s="306"/>
      <c r="AX729" s="307"/>
      <c r="AY729" s="307"/>
      <c r="AZ729" s="307"/>
      <c r="BA729" s="307"/>
      <c r="BB729" s="307"/>
      <c r="BC729" s="307"/>
      <c r="BD729" s="307"/>
      <c r="BE729" s="301"/>
      <c r="BG729" s="327"/>
      <c r="BH729" s="306"/>
      <c r="BI729" s="306"/>
      <c r="BJ729" s="307"/>
      <c r="BK729" s="307"/>
      <c r="BL729" s="307"/>
      <c r="BM729" s="307"/>
      <c r="BN729" s="307"/>
      <c r="BO729" s="307"/>
      <c r="BP729" s="307"/>
      <c r="BQ729" s="301"/>
    </row>
    <row r="730" spans="7:69" s="302" customFormat="1" ht="11.75" customHeight="1" x14ac:dyDescent="0.15">
      <c r="G730" s="300"/>
      <c r="H730" s="301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  <c r="Y730" s="301"/>
      <c r="Z730" s="301"/>
      <c r="AA730" s="301"/>
      <c r="AB730" s="301"/>
      <c r="AC730" s="301"/>
      <c r="AD730" s="301"/>
      <c r="AE730" s="301"/>
      <c r="AH730" s="306"/>
      <c r="AI730" s="306"/>
      <c r="AJ730" s="307"/>
      <c r="AK730" s="307"/>
      <c r="AL730" s="307"/>
      <c r="AM730" s="307"/>
      <c r="AN730" s="307"/>
      <c r="AO730" s="307"/>
      <c r="AP730" s="307"/>
      <c r="AQ730" s="307"/>
      <c r="AR730" s="307"/>
      <c r="AU730" s="306"/>
      <c r="AV730" s="306"/>
      <c r="AW730" s="306"/>
      <c r="AX730" s="307"/>
      <c r="AY730" s="307"/>
      <c r="AZ730" s="307"/>
      <c r="BA730" s="307"/>
      <c r="BB730" s="307"/>
      <c r="BC730" s="307"/>
      <c r="BD730" s="307"/>
      <c r="BE730" s="307"/>
      <c r="BG730" s="306"/>
      <c r="BH730" s="306"/>
      <c r="BI730" s="306"/>
      <c r="BJ730" s="307"/>
      <c r="BK730" s="307"/>
      <c r="BL730" s="307"/>
      <c r="BM730" s="307"/>
      <c r="BN730" s="307"/>
      <c r="BO730" s="307"/>
      <c r="BP730" s="307"/>
      <c r="BQ730" s="307"/>
    </row>
    <row r="731" spans="7:69" s="302" customFormat="1" ht="11.75" customHeight="1" x14ac:dyDescent="0.15">
      <c r="G731" s="300"/>
      <c r="H731" s="301"/>
      <c r="I731" s="301"/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  <c r="Y731" s="301"/>
      <c r="Z731" s="301"/>
      <c r="AA731" s="301"/>
      <c r="AB731" s="301"/>
      <c r="AC731" s="301"/>
      <c r="AD731" s="301"/>
      <c r="AE731" s="301"/>
      <c r="AH731" s="306"/>
      <c r="AI731" s="306"/>
      <c r="AJ731" s="307"/>
      <c r="AK731" s="307"/>
      <c r="AL731" s="307"/>
      <c r="AM731" s="307"/>
      <c r="AN731" s="307"/>
      <c r="AO731" s="307"/>
      <c r="AP731" s="307"/>
      <c r="AQ731" s="307"/>
      <c r="AR731" s="307"/>
      <c r="AU731" s="306"/>
      <c r="AV731" s="306"/>
      <c r="AW731" s="306"/>
      <c r="AX731" s="307"/>
      <c r="AY731" s="307"/>
      <c r="AZ731" s="307"/>
      <c r="BA731" s="307"/>
      <c r="BB731" s="307"/>
      <c r="BC731" s="307"/>
      <c r="BD731" s="307"/>
      <c r="BE731" s="307"/>
      <c r="BG731" s="306"/>
      <c r="BH731" s="306"/>
      <c r="BI731" s="306"/>
      <c r="BJ731" s="307"/>
      <c r="BK731" s="307"/>
      <c r="BL731" s="307"/>
      <c r="BM731" s="307"/>
      <c r="BN731" s="307"/>
      <c r="BO731" s="307"/>
      <c r="BP731" s="307"/>
      <c r="BQ731" s="307"/>
    </row>
    <row r="732" spans="7:69" s="302" customFormat="1" ht="11.75" customHeight="1" x14ac:dyDescent="0.15">
      <c r="G732" s="300"/>
      <c r="H732" s="301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  <c r="Y732" s="301"/>
      <c r="Z732" s="301"/>
      <c r="AA732" s="301"/>
      <c r="AB732" s="301"/>
      <c r="AC732" s="301"/>
      <c r="AD732" s="301"/>
      <c r="AE732" s="301"/>
      <c r="AH732" s="327"/>
      <c r="AI732" s="306"/>
      <c r="AJ732" s="307"/>
      <c r="AK732" s="307"/>
      <c r="AL732" s="307"/>
      <c r="AM732" s="307"/>
      <c r="AN732" s="307"/>
      <c r="AO732" s="307"/>
      <c r="AP732" s="307"/>
      <c r="AQ732" s="307"/>
      <c r="AR732" s="307"/>
      <c r="AU732" s="306"/>
      <c r="AV732" s="306"/>
      <c r="AW732" s="306"/>
      <c r="AX732" s="307"/>
      <c r="AY732" s="307"/>
      <c r="AZ732" s="307"/>
      <c r="BA732" s="307"/>
      <c r="BB732" s="307"/>
      <c r="BC732" s="307"/>
      <c r="BD732" s="307"/>
      <c r="BE732" s="307"/>
      <c r="BG732" s="306"/>
      <c r="BH732" s="306"/>
      <c r="BI732" s="306"/>
      <c r="BJ732" s="307"/>
      <c r="BK732" s="307"/>
      <c r="BL732" s="307"/>
      <c r="BM732" s="307"/>
      <c r="BN732" s="307"/>
      <c r="BO732" s="307"/>
      <c r="BP732" s="307"/>
      <c r="BQ732" s="307"/>
    </row>
    <row r="733" spans="7:69" s="302" customFormat="1" ht="11.75" customHeight="1" x14ac:dyDescent="0.15">
      <c r="G733" s="300"/>
      <c r="H733" s="301"/>
      <c r="I733" s="301"/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  <c r="Y733" s="301"/>
      <c r="Z733" s="301"/>
      <c r="AA733" s="301"/>
      <c r="AB733" s="301"/>
      <c r="AC733" s="301"/>
      <c r="AD733" s="301"/>
      <c r="AE733" s="301"/>
      <c r="AH733" s="306"/>
      <c r="AI733" s="306"/>
      <c r="AJ733" s="307"/>
      <c r="AK733" s="307"/>
      <c r="AL733" s="307"/>
      <c r="AM733" s="307"/>
      <c r="AN733" s="307"/>
      <c r="AO733" s="307"/>
      <c r="AP733" s="307"/>
      <c r="AQ733" s="307"/>
      <c r="AR733" s="307"/>
      <c r="AU733" s="306"/>
      <c r="AV733" s="306"/>
      <c r="AW733" s="306"/>
      <c r="AX733" s="307"/>
      <c r="AY733" s="307"/>
      <c r="AZ733" s="307"/>
      <c r="BA733" s="307"/>
      <c r="BB733" s="307"/>
      <c r="BC733" s="307"/>
      <c r="BD733" s="307"/>
      <c r="BE733" s="307"/>
      <c r="BG733" s="306"/>
      <c r="BH733" s="306"/>
      <c r="BI733" s="306"/>
      <c r="BJ733" s="307"/>
      <c r="BK733" s="307"/>
      <c r="BL733" s="307"/>
      <c r="BM733" s="307"/>
      <c r="BN733" s="307"/>
      <c r="BO733" s="307"/>
      <c r="BP733" s="307"/>
      <c r="BQ733" s="307"/>
    </row>
    <row r="734" spans="7:69" s="302" customFormat="1" ht="11.75" customHeight="1" x14ac:dyDescent="0.15">
      <c r="G734" s="300"/>
      <c r="H734" s="301"/>
      <c r="I734" s="301"/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  <c r="Y734" s="301"/>
      <c r="Z734" s="301"/>
      <c r="AA734" s="301"/>
      <c r="AB734" s="301"/>
      <c r="AC734" s="301"/>
      <c r="AD734" s="301"/>
      <c r="AE734" s="301"/>
      <c r="AH734" s="306"/>
      <c r="AI734" s="306"/>
      <c r="AJ734" s="307"/>
      <c r="AK734" s="307"/>
      <c r="AL734" s="307"/>
      <c r="AM734" s="307"/>
      <c r="AN734" s="307"/>
      <c r="AO734" s="307"/>
      <c r="AP734" s="307"/>
      <c r="AQ734" s="307"/>
      <c r="AR734" s="307"/>
      <c r="AU734" s="306"/>
      <c r="AV734" s="306"/>
      <c r="AW734" s="306"/>
      <c r="AX734" s="307"/>
      <c r="AY734" s="307"/>
      <c r="AZ734" s="307"/>
      <c r="BA734" s="307"/>
      <c r="BB734" s="307"/>
      <c r="BC734" s="307"/>
      <c r="BD734" s="307"/>
      <c r="BE734" s="301"/>
      <c r="BG734" s="306"/>
      <c r="BH734" s="306"/>
      <c r="BI734" s="306"/>
      <c r="BJ734" s="307"/>
      <c r="BK734" s="307"/>
      <c r="BL734" s="307"/>
      <c r="BM734" s="307"/>
      <c r="BN734" s="307"/>
      <c r="BO734" s="307"/>
      <c r="BP734" s="307"/>
      <c r="BQ734" s="301"/>
    </row>
    <row r="735" spans="7:69" s="302" customFormat="1" ht="11.75" customHeight="1" x14ac:dyDescent="0.15">
      <c r="G735" s="300"/>
      <c r="H735" s="301"/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  <c r="Y735" s="301"/>
      <c r="Z735" s="301"/>
      <c r="AA735" s="301"/>
      <c r="AB735" s="301"/>
      <c r="AC735" s="301"/>
      <c r="AD735" s="301"/>
      <c r="AE735" s="301"/>
      <c r="AH735" s="306"/>
      <c r="AI735" s="306"/>
      <c r="AJ735" s="307"/>
      <c r="AK735" s="307"/>
      <c r="AL735" s="307"/>
      <c r="AM735" s="307"/>
      <c r="AN735" s="307"/>
      <c r="AO735" s="307"/>
      <c r="AP735" s="307"/>
      <c r="AQ735" s="307"/>
      <c r="AR735" s="307"/>
      <c r="AU735" s="327"/>
      <c r="AV735" s="306"/>
      <c r="AW735" s="306"/>
      <c r="AX735" s="307"/>
      <c r="AY735" s="307"/>
      <c r="AZ735" s="307"/>
      <c r="BA735" s="307"/>
      <c r="BB735" s="307"/>
      <c r="BC735" s="307"/>
      <c r="BD735" s="307"/>
      <c r="BE735" s="301"/>
      <c r="BG735" s="327"/>
      <c r="BH735" s="306"/>
      <c r="BI735" s="306"/>
      <c r="BJ735" s="307"/>
      <c r="BK735" s="307"/>
      <c r="BL735" s="307"/>
      <c r="BM735" s="307"/>
      <c r="BN735" s="307"/>
      <c r="BO735" s="307"/>
      <c r="BP735" s="307"/>
      <c r="BQ735" s="301"/>
    </row>
    <row r="736" spans="7:69" s="302" customFormat="1" ht="11.75" customHeight="1" x14ac:dyDescent="0.15">
      <c r="G736" s="300"/>
      <c r="H736" s="301"/>
      <c r="I736" s="301"/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  <c r="Y736" s="301"/>
      <c r="Z736" s="301"/>
      <c r="AA736" s="301"/>
      <c r="AB736" s="301"/>
      <c r="AC736" s="301"/>
      <c r="AD736" s="301"/>
      <c r="AE736" s="301"/>
      <c r="AH736" s="306"/>
      <c r="AI736" s="306"/>
      <c r="AJ736" s="307"/>
      <c r="AK736" s="307"/>
      <c r="AL736" s="307"/>
      <c r="AM736" s="307"/>
      <c r="AN736" s="307"/>
      <c r="AO736" s="307"/>
      <c r="AP736" s="307"/>
      <c r="AQ736" s="307"/>
      <c r="AR736" s="307"/>
      <c r="AU736" s="306"/>
      <c r="AV736" s="306"/>
      <c r="AW736" s="306"/>
      <c r="AX736" s="307"/>
      <c r="AY736" s="307"/>
      <c r="AZ736" s="307"/>
      <c r="BA736" s="307"/>
      <c r="BB736" s="307"/>
      <c r="BC736" s="307"/>
      <c r="BD736" s="307"/>
      <c r="BE736" s="307"/>
      <c r="BG736" s="306"/>
      <c r="BH736" s="306"/>
      <c r="BI736" s="306"/>
      <c r="BJ736" s="307"/>
      <c r="BK736" s="307"/>
      <c r="BL736" s="307"/>
      <c r="BM736" s="307"/>
      <c r="BN736" s="307"/>
      <c r="BO736" s="307"/>
      <c r="BP736" s="307"/>
      <c r="BQ736" s="307"/>
    </row>
    <row r="737" spans="7:69" s="302" customFormat="1" ht="11.75" customHeight="1" x14ac:dyDescent="0.15">
      <c r="G737" s="300"/>
      <c r="H737" s="301"/>
      <c r="I737" s="301"/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  <c r="Y737" s="301"/>
      <c r="Z737" s="301"/>
      <c r="AA737" s="301"/>
      <c r="AB737" s="301"/>
      <c r="AC737" s="301"/>
      <c r="AD737" s="301"/>
      <c r="AE737" s="301"/>
      <c r="AH737" s="306"/>
      <c r="AI737" s="306"/>
      <c r="AJ737" s="307"/>
      <c r="AK737" s="307"/>
      <c r="AL737" s="307"/>
      <c r="AM737" s="307"/>
      <c r="AN737" s="307"/>
      <c r="AO737" s="307"/>
      <c r="AP737" s="307"/>
      <c r="AQ737" s="307"/>
      <c r="AR737" s="307"/>
      <c r="AU737" s="306"/>
      <c r="AV737" s="306"/>
      <c r="AW737" s="306"/>
      <c r="AX737" s="307"/>
      <c r="AY737" s="307"/>
      <c r="AZ737" s="307"/>
      <c r="BA737" s="307"/>
      <c r="BB737" s="307"/>
      <c r="BC737" s="307"/>
      <c r="BD737" s="307"/>
      <c r="BE737" s="307"/>
      <c r="BG737" s="306"/>
      <c r="BH737" s="306"/>
      <c r="BI737" s="306"/>
      <c r="BJ737" s="307"/>
      <c r="BK737" s="307"/>
      <c r="BL737" s="307"/>
      <c r="BM737" s="307"/>
      <c r="BN737" s="307"/>
      <c r="BO737" s="307"/>
      <c r="BP737" s="307"/>
      <c r="BQ737" s="307"/>
    </row>
    <row r="738" spans="7:69" s="302" customFormat="1" ht="11.75" customHeight="1" x14ac:dyDescent="0.15">
      <c r="G738" s="300"/>
      <c r="H738" s="301"/>
      <c r="I738" s="301"/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  <c r="Y738" s="301"/>
      <c r="Z738" s="301"/>
      <c r="AA738" s="301"/>
      <c r="AB738" s="301"/>
      <c r="AC738" s="301"/>
      <c r="AD738" s="301"/>
      <c r="AE738" s="301"/>
      <c r="AH738" s="327"/>
      <c r="AI738" s="306"/>
      <c r="AJ738" s="307"/>
      <c r="AK738" s="307"/>
      <c r="AL738" s="307"/>
      <c r="AM738" s="307"/>
      <c r="AN738" s="307"/>
      <c r="AO738" s="307"/>
      <c r="AP738" s="307"/>
      <c r="AQ738" s="307"/>
      <c r="AR738" s="307"/>
      <c r="AU738" s="306"/>
      <c r="AV738" s="306"/>
      <c r="AW738" s="306"/>
      <c r="AX738" s="307"/>
      <c r="AY738" s="307"/>
      <c r="AZ738" s="307"/>
      <c r="BA738" s="307"/>
      <c r="BB738" s="307"/>
      <c r="BC738" s="307"/>
      <c r="BD738" s="307"/>
      <c r="BE738" s="307"/>
      <c r="BG738" s="306"/>
      <c r="BH738" s="306"/>
      <c r="BI738" s="306"/>
      <c r="BJ738" s="307"/>
      <c r="BK738" s="307"/>
      <c r="BL738" s="307"/>
      <c r="BM738" s="307"/>
      <c r="BN738" s="307"/>
      <c r="BO738" s="307"/>
      <c r="BP738" s="307"/>
      <c r="BQ738" s="307"/>
    </row>
    <row r="739" spans="7:69" s="302" customFormat="1" ht="11.75" customHeight="1" x14ac:dyDescent="0.15">
      <c r="G739" s="300"/>
      <c r="H739" s="301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  <c r="Y739" s="301"/>
      <c r="Z739" s="301"/>
      <c r="AA739" s="301"/>
      <c r="AB739" s="301"/>
      <c r="AC739" s="301"/>
      <c r="AD739" s="301"/>
      <c r="AE739" s="301"/>
      <c r="AH739" s="306"/>
      <c r="AI739" s="306"/>
      <c r="AJ739" s="307"/>
      <c r="AK739" s="307"/>
      <c r="AL739" s="307"/>
      <c r="AM739" s="307"/>
      <c r="AN739" s="307"/>
      <c r="AO739" s="307"/>
      <c r="AP739" s="307"/>
      <c r="AQ739" s="307"/>
      <c r="AR739" s="307"/>
      <c r="AU739" s="306"/>
      <c r="AV739" s="306"/>
      <c r="AW739" s="306"/>
      <c r="AX739" s="307"/>
      <c r="AY739" s="307"/>
      <c r="AZ739" s="307"/>
      <c r="BA739" s="307"/>
      <c r="BB739" s="307"/>
      <c r="BC739" s="307"/>
      <c r="BD739" s="307"/>
      <c r="BE739" s="307"/>
      <c r="BG739" s="306"/>
      <c r="BH739" s="306"/>
      <c r="BI739" s="306"/>
      <c r="BJ739" s="307"/>
      <c r="BK739" s="307"/>
      <c r="BL739" s="307"/>
      <c r="BM739" s="307"/>
      <c r="BN739" s="307"/>
      <c r="BO739" s="307"/>
      <c r="BP739" s="307"/>
      <c r="BQ739" s="307"/>
    </row>
    <row r="740" spans="7:69" s="302" customFormat="1" ht="11.75" customHeight="1" x14ac:dyDescent="0.15">
      <c r="G740" s="300"/>
      <c r="H740" s="301"/>
      <c r="I740" s="301"/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  <c r="Y740" s="301"/>
      <c r="Z740" s="301"/>
      <c r="AA740" s="301"/>
      <c r="AB740" s="301"/>
      <c r="AC740" s="301"/>
      <c r="AD740" s="301"/>
      <c r="AE740" s="301"/>
      <c r="AH740" s="306"/>
      <c r="AI740" s="306"/>
      <c r="AJ740" s="307"/>
      <c r="AK740" s="307"/>
      <c r="AL740" s="307"/>
      <c r="AM740" s="307"/>
      <c r="AN740" s="307"/>
      <c r="AO740" s="307"/>
      <c r="AP740" s="307"/>
      <c r="AQ740" s="307"/>
      <c r="AR740" s="307"/>
      <c r="AU740" s="306"/>
      <c r="AV740" s="306"/>
      <c r="AW740" s="306"/>
      <c r="AX740" s="307"/>
      <c r="AY740" s="307"/>
      <c r="AZ740" s="307"/>
      <c r="BA740" s="307"/>
      <c r="BB740" s="307"/>
      <c r="BC740" s="307"/>
      <c r="BD740" s="307"/>
      <c r="BE740" s="301"/>
      <c r="BG740" s="306"/>
      <c r="BH740" s="306"/>
      <c r="BI740" s="306"/>
      <c r="BJ740" s="307"/>
      <c r="BK740" s="307"/>
      <c r="BL740" s="307"/>
      <c r="BM740" s="307"/>
      <c r="BN740" s="307"/>
      <c r="BO740" s="307"/>
      <c r="BP740" s="307"/>
      <c r="BQ740" s="301"/>
    </row>
    <row r="741" spans="7:69" s="302" customFormat="1" ht="11.75" customHeight="1" x14ac:dyDescent="0.15">
      <c r="G741" s="300"/>
      <c r="H741" s="301"/>
      <c r="I741" s="301"/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  <c r="Y741" s="301"/>
      <c r="Z741" s="301"/>
      <c r="AA741" s="301"/>
      <c r="AB741" s="301"/>
      <c r="AC741" s="301"/>
      <c r="AD741" s="301"/>
      <c r="AE741" s="301"/>
      <c r="AH741" s="306"/>
      <c r="AI741" s="306"/>
      <c r="AJ741" s="307"/>
      <c r="AK741" s="307"/>
      <c r="AL741" s="307"/>
      <c r="AM741" s="307"/>
      <c r="AN741" s="307"/>
      <c r="AO741" s="307"/>
      <c r="AP741" s="307"/>
      <c r="AQ741" s="307"/>
      <c r="AR741" s="307"/>
      <c r="AU741" s="327"/>
      <c r="AV741" s="306"/>
      <c r="AW741" s="306"/>
      <c r="AX741" s="307"/>
      <c r="AY741" s="307"/>
      <c r="AZ741" s="307"/>
      <c r="BA741" s="307"/>
      <c r="BB741" s="307"/>
      <c r="BC741" s="307"/>
      <c r="BD741" s="307"/>
      <c r="BE741" s="301"/>
      <c r="BG741" s="327"/>
      <c r="BH741" s="306"/>
      <c r="BI741" s="306"/>
      <c r="BJ741" s="307"/>
      <c r="BK741" s="307"/>
      <c r="BL741" s="307"/>
      <c r="BM741" s="307"/>
      <c r="BN741" s="307"/>
      <c r="BO741" s="307"/>
      <c r="BP741" s="307"/>
      <c r="BQ741" s="301"/>
    </row>
    <row r="742" spans="7:69" s="302" customFormat="1" ht="11.75" customHeight="1" x14ac:dyDescent="0.15">
      <c r="G742" s="300"/>
      <c r="H742" s="301"/>
      <c r="I742" s="301"/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  <c r="Y742" s="301"/>
      <c r="Z742" s="301"/>
      <c r="AA742" s="301"/>
      <c r="AB742" s="301"/>
      <c r="AC742" s="301"/>
      <c r="AD742" s="301"/>
      <c r="AE742" s="301"/>
      <c r="AH742" s="306"/>
      <c r="AI742" s="306"/>
      <c r="AJ742" s="307"/>
      <c r="AK742" s="307"/>
      <c r="AL742" s="307"/>
      <c r="AM742" s="307"/>
      <c r="AN742" s="307"/>
      <c r="AO742" s="307"/>
      <c r="AP742" s="307"/>
      <c r="AQ742" s="307"/>
      <c r="AR742" s="307"/>
      <c r="AU742" s="306"/>
      <c r="AV742" s="306"/>
      <c r="AW742" s="306"/>
      <c r="AX742" s="307"/>
      <c r="AY742" s="307"/>
      <c r="AZ742" s="307"/>
      <c r="BA742" s="307"/>
      <c r="BB742" s="307"/>
      <c r="BC742" s="307"/>
      <c r="BD742" s="307"/>
      <c r="BE742" s="307"/>
      <c r="BG742" s="306"/>
      <c r="BH742" s="306"/>
      <c r="BI742" s="306"/>
      <c r="BJ742" s="307"/>
      <c r="BK742" s="307"/>
      <c r="BL742" s="307"/>
      <c r="BM742" s="307"/>
      <c r="BN742" s="307"/>
      <c r="BO742" s="307"/>
      <c r="BP742" s="307"/>
      <c r="BQ742" s="307"/>
    </row>
    <row r="743" spans="7:69" s="302" customFormat="1" ht="11.75" customHeight="1" x14ac:dyDescent="0.15">
      <c r="G743" s="300"/>
      <c r="H743" s="301"/>
      <c r="I743" s="301"/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  <c r="AA743" s="301"/>
      <c r="AB743" s="301"/>
      <c r="AC743" s="301"/>
      <c r="AD743" s="301"/>
      <c r="AE743" s="301"/>
      <c r="AH743" s="306"/>
      <c r="AI743" s="306"/>
      <c r="AJ743" s="307"/>
      <c r="AK743" s="307"/>
      <c r="AL743" s="307"/>
      <c r="AM743" s="307"/>
      <c r="AN743" s="307"/>
      <c r="AO743" s="307"/>
      <c r="AP743" s="307"/>
      <c r="AQ743" s="307"/>
      <c r="AR743" s="307"/>
      <c r="AU743" s="306"/>
      <c r="AV743" s="306"/>
      <c r="AW743" s="306"/>
      <c r="AX743" s="307"/>
      <c r="AY743" s="307"/>
      <c r="AZ743" s="307"/>
      <c r="BA743" s="307"/>
      <c r="BB743" s="307"/>
      <c r="BC743" s="307"/>
      <c r="BD743" s="307"/>
      <c r="BE743" s="307"/>
      <c r="BG743" s="306"/>
      <c r="BH743" s="306"/>
      <c r="BI743" s="306"/>
      <c r="BJ743" s="307"/>
      <c r="BK743" s="307"/>
      <c r="BL743" s="307"/>
      <c r="BM743" s="307"/>
      <c r="BN743" s="307"/>
      <c r="BO743" s="307"/>
      <c r="BP743" s="307"/>
      <c r="BQ743" s="307"/>
    </row>
    <row r="744" spans="7:69" s="302" customFormat="1" ht="11.75" customHeight="1" x14ac:dyDescent="0.15">
      <c r="G744" s="300"/>
      <c r="H744" s="301"/>
      <c r="I744" s="301"/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  <c r="AA744" s="301"/>
      <c r="AB744" s="301"/>
      <c r="AC744" s="301"/>
      <c r="AD744" s="301"/>
      <c r="AE744" s="301"/>
      <c r="AH744" s="327"/>
      <c r="AI744" s="306"/>
      <c r="AJ744" s="307"/>
      <c r="AK744" s="307"/>
      <c r="AL744" s="307"/>
      <c r="AM744" s="307"/>
      <c r="AN744" s="307"/>
      <c r="AO744" s="307"/>
      <c r="AP744" s="307"/>
      <c r="AQ744" s="307"/>
      <c r="AR744" s="307"/>
      <c r="AU744" s="306"/>
      <c r="AV744" s="306"/>
      <c r="AW744" s="306"/>
      <c r="AX744" s="307"/>
      <c r="AY744" s="307"/>
      <c r="AZ744" s="307"/>
      <c r="BA744" s="307"/>
      <c r="BB744" s="307"/>
      <c r="BC744" s="307"/>
      <c r="BD744" s="307"/>
      <c r="BE744" s="307"/>
      <c r="BG744" s="306"/>
      <c r="BH744" s="306"/>
      <c r="BI744" s="306"/>
      <c r="BJ744" s="307"/>
      <c r="BK744" s="307"/>
      <c r="BL744" s="307"/>
      <c r="BM744" s="307"/>
      <c r="BN744" s="307"/>
      <c r="BO744" s="307"/>
      <c r="BP744" s="307"/>
      <c r="BQ744" s="307"/>
    </row>
    <row r="745" spans="7:69" s="302" customFormat="1" ht="11.75" customHeight="1" x14ac:dyDescent="0.15">
      <c r="G745" s="300"/>
      <c r="H745" s="301"/>
      <c r="I745" s="301"/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  <c r="Y745" s="301"/>
      <c r="Z745" s="301"/>
      <c r="AA745" s="301"/>
      <c r="AB745" s="301"/>
      <c r="AC745" s="301"/>
      <c r="AD745" s="301"/>
      <c r="AE745" s="301"/>
      <c r="AH745" s="306"/>
      <c r="AI745" s="306"/>
      <c r="AJ745" s="307"/>
      <c r="AK745" s="307"/>
      <c r="AL745" s="307"/>
      <c r="AM745" s="307"/>
      <c r="AN745" s="307"/>
      <c r="AO745" s="307"/>
      <c r="AP745" s="307"/>
      <c r="AQ745" s="307"/>
      <c r="AR745" s="307"/>
      <c r="AU745" s="306"/>
      <c r="AV745" s="306"/>
      <c r="AW745" s="306"/>
      <c r="AX745" s="307"/>
      <c r="AY745" s="307"/>
      <c r="AZ745" s="307"/>
      <c r="BA745" s="307"/>
      <c r="BB745" s="307"/>
      <c r="BC745" s="307"/>
      <c r="BD745" s="307"/>
      <c r="BE745" s="307"/>
      <c r="BG745" s="306"/>
      <c r="BH745" s="306"/>
      <c r="BI745" s="306"/>
      <c r="BJ745" s="307"/>
      <c r="BK745" s="307"/>
      <c r="BL745" s="307"/>
      <c r="BM745" s="307"/>
      <c r="BN745" s="307"/>
      <c r="BO745" s="307"/>
      <c r="BP745" s="307"/>
      <c r="BQ745" s="307"/>
    </row>
    <row r="746" spans="7:69" s="302" customFormat="1" ht="11.75" customHeight="1" x14ac:dyDescent="0.15">
      <c r="G746" s="300"/>
      <c r="H746" s="301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  <c r="Y746" s="301"/>
      <c r="Z746" s="301"/>
      <c r="AA746" s="301"/>
      <c r="AB746" s="301"/>
      <c r="AC746" s="301"/>
      <c r="AD746" s="301"/>
      <c r="AE746" s="301"/>
      <c r="AH746" s="306"/>
      <c r="AI746" s="306"/>
      <c r="AJ746" s="307"/>
      <c r="AK746" s="307"/>
      <c r="AL746" s="307"/>
      <c r="AM746" s="307"/>
      <c r="AN746" s="307"/>
      <c r="AO746" s="307"/>
      <c r="AP746" s="307"/>
      <c r="AQ746" s="307"/>
      <c r="AR746" s="307"/>
      <c r="AU746" s="306"/>
      <c r="AV746" s="306"/>
      <c r="AW746" s="306"/>
      <c r="AX746" s="307"/>
      <c r="AY746" s="307"/>
      <c r="AZ746" s="307"/>
      <c r="BA746" s="307"/>
      <c r="BB746" s="307"/>
      <c r="BC746" s="307"/>
      <c r="BD746" s="307"/>
      <c r="BE746" s="301"/>
      <c r="BG746" s="306"/>
      <c r="BH746" s="306"/>
      <c r="BI746" s="306"/>
      <c r="BJ746" s="307"/>
      <c r="BK746" s="307"/>
      <c r="BL746" s="307"/>
      <c r="BM746" s="307"/>
      <c r="BN746" s="307"/>
      <c r="BO746" s="307"/>
      <c r="BP746" s="307"/>
      <c r="BQ746" s="301"/>
    </row>
    <row r="747" spans="7:69" s="302" customFormat="1" ht="11.75" customHeight="1" x14ac:dyDescent="0.15">
      <c r="G747" s="300"/>
      <c r="H747" s="301"/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  <c r="Y747" s="301"/>
      <c r="Z747" s="301"/>
      <c r="AA747" s="301"/>
      <c r="AB747" s="301"/>
      <c r="AC747" s="301"/>
      <c r="AD747" s="301"/>
      <c r="AE747" s="301"/>
      <c r="AH747" s="306"/>
      <c r="AI747" s="306"/>
      <c r="AJ747" s="307"/>
      <c r="AK747" s="307"/>
      <c r="AL747" s="307"/>
      <c r="AM747" s="307"/>
      <c r="AN747" s="307"/>
      <c r="AO747" s="307"/>
      <c r="AP747" s="307"/>
      <c r="AQ747" s="307"/>
      <c r="AR747" s="307"/>
      <c r="AU747" s="327"/>
      <c r="AV747" s="306"/>
      <c r="AW747" s="306"/>
      <c r="AX747" s="307"/>
      <c r="AY747" s="307"/>
      <c r="AZ747" s="307"/>
      <c r="BA747" s="307"/>
      <c r="BB747" s="307"/>
      <c r="BC747" s="307"/>
      <c r="BD747" s="307"/>
      <c r="BE747" s="301"/>
      <c r="BG747" s="327"/>
      <c r="BH747" s="306"/>
      <c r="BI747" s="306"/>
      <c r="BJ747" s="307"/>
      <c r="BK747" s="307"/>
      <c r="BL747" s="307"/>
      <c r="BM747" s="307"/>
      <c r="BN747" s="307"/>
      <c r="BO747" s="307"/>
      <c r="BP747" s="307"/>
      <c r="BQ747" s="301"/>
    </row>
    <row r="748" spans="7:69" s="302" customFormat="1" ht="11.75" customHeight="1" x14ac:dyDescent="0.15">
      <c r="G748" s="300"/>
      <c r="H748" s="301"/>
      <c r="I748" s="301"/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  <c r="Y748" s="301"/>
      <c r="Z748" s="301"/>
      <c r="AA748" s="301"/>
      <c r="AB748" s="301"/>
      <c r="AC748" s="301"/>
      <c r="AD748" s="301"/>
      <c r="AE748" s="301"/>
      <c r="AH748" s="306"/>
      <c r="AI748" s="306"/>
      <c r="AJ748" s="307"/>
      <c r="AK748" s="307"/>
      <c r="AL748" s="307"/>
      <c r="AM748" s="307"/>
      <c r="AN748" s="307"/>
      <c r="AO748" s="307"/>
      <c r="AP748" s="307"/>
      <c r="AQ748" s="307"/>
      <c r="AR748" s="307"/>
      <c r="AU748" s="306"/>
      <c r="AV748" s="306"/>
      <c r="AW748" s="306"/>
      <c r="AX748" s="307"/>
      <c r="AY748" s="307"/>
      <c r="AZ748" s="307"/>
      <c r="BA748" s="307"/>
      <c r="BB748" s="307"/>
      <c r="BC748" s="307"/>
      <c r="BD748" s="307"/>
      <c r="BE748" s="307"/>
      <c r="BG748" s="306"/>
      <c r="BH748" s="306"/>
      <c r="BI748" s="306"/>
      <c r="BJ748" s="307"/>
      <c r="BK748" s="307"/>
      <c r="BL748" s="307"/>
      <c r="BM748" s="307"/>
      <c r="BN748" s="307"/>
      <c r="BO748" s="307"/>
      <c r="BP748" s="307"/>
      <c r="BQ748" s="307"/>
    </row>
    <row r="749" spans="7:69" s="302" customFormat="1" ht="11.75" customHeight="1" x14ac:dyDescent="0.15">
      <c r="G749" s="300"/>
      <c r="H749" s="301"/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  <c r="Y749" s="301"/>
      <c r="Z749" s="301"/>
      <c r="AA749" s="301"/>
      <c r="AB749" s="301"/>
      <c r="AC749" s="301"/>
      <c r="AD749" s="301"/>
      <c r="AE749" s="301"/>
      <c r="AH749" s="306"/>
      <c r="AI749" s="306"/>
      <c r="AJ749" s="307"/>
      <c r="AK749" s="307"/>
      <c r="AL749" s="307"/>
      <c r="AM749" s="307"/>
      <c r="AN749" s="307"/>
      <c r="AO749" s="307"/>
      <c r="AP749" s="307"/>
      <c r="AQ749" s="307"/>
      <c r="AR749" s="307"/>
      <c r="AU749" s="306"/>
      <c r="AV749" s="306"/>
      <c r="AW749" s="306"/>
      <c r="AX749" s="307"/>
      <c r="AY749" s="307"/>
      <c r="AZ749" s="307"/>
      <c r="BA749" s="307"/>
      <c r="BB749" s="307"/>
      <c r="BC749" s="307"/>
      <c r="BD749" s="307"/>
      <c r="BE749" s="307"/>
      <c r="BG749" s="306"/>
      <c r="BH749" s="306"/>
      <c r="BI749" s="306"/>
      <c r="BJ749" s="307"/>
      <c r="BK749" s="307"/>
      <c r="BL749" s="307"/>
      <c r="BM749" s="307"/>
      <c r="BN749" s="307"/>
      <c r="BO749" s="307"/>
      <c r="BP749" s="307"/>
      <c r="BQ749" s="307"/>
    </row>
    <row r="750" spans="7:69" s="302" customFormat="1" ht="11.75" customHeight="1" x14ac:dyDescent="0.15">
      <c r="G750" s="300"/>
      <c r="H750" s="301"/>
      <c r="I750" s="301"/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  <c r="Y750" s="301"/>
      <c r="Z750" s="301"/>
      <c r="AA750" s="301"/>
      <c r="AB750" s="301"/>
      <c r="AC750" s="301"/>
      <c r="AD750" s="301"/>
      <c r="AE750" s="301"/>
      <c r="AH750" s="327"/>
      <c r="AI750" s="306"/>
      <c r="AJ750" s="307"/>
      <c r="AK750" s="307"/>
      <c r="AL750" s="307"/>
      <c r="AM750" s="307"/>
      <c r="AN750" s="307"/>
      <c r="AO750" s="307"/>
      <c r="AP750" s="307"/>
      <c r="AQ750" s="307"/>
      <c r="AR750" s="307"/>
      <c r="AU750" s="306"/>
      <c r="AV750" s="306"/>
      <c r="AW750" s="306"/>
      <c r="AX750" s="307"/>
      <c r="AY750" s="307"/>
      <c r="AZ750" s="307"/>
      <c r="BA750" s="307"/>
      <c r="BB750" s="307"/>
      <c r="BC750" s="307"/>
      <c r="BD750" s="307"/>
      <c r="BE750" s="307"/>
      <c r="BG750" s="306"/>
      <c r="BH750" s="306"/>
      <c r="BI750" s="306"/>
      <c r="BJ750" s="307"/>
      <c r="BK750" s="307"/>
      <c r="BL750" s="307"/>
      <c r="BM750" s="307"/>
      <c r="BN750" s="307"/>
      <c r="BO750" s="307"/>
      <c r="BP750" s="307"/>
      <c r="BQ750" s="307"/>
    </row>
    <row r="751" spans="7:69" s="302" customFormat="1" ht="11.75" customHeight="1" x14ac:dyDescent="0.15">
      <c r="G751" s="300"/>
      <c r="H751" s="301"/>
      <c r="I751" s="301"/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  <c r="Y751" s="301"/>
      <c r="Z751" s="301"/>
      <c r="AA751" s="301"/>
      <c r="AB751" s="301"/>
      <c r="AC751" s="301"/>
      <c r="AD751" s="301"/>
      <c r="AE751" s="301"/>
      <c r="AH751" s="306"/>
      <c r="AI751" s="306"/>
      <c r="AJ751" s="307"/>
      <c r="AK751" s="307"/>
      <c r="AL751" s="307"/>
      <c r="AM751" s="307"/>
      <c r="AN751" s="307"/>
      <c r="AO751" s="307"/>
      <c r="AP751" s="307"/>
      <c r="AQ751" s="307"/>
      <c r="AR751" s="307"/>
      <c r="AU751" s="306"/>
      <c r="AV751" s="306"/>
      <c r="AW751" s="306"/>
      <c r="AX751" s="307"/>
      <c r="AY751" s="307"/>
      <c r="AZ751" s="307"/>
      <c r="BA751" s="307"/>
      <c r="BB751" s="307"/>
      <c r="BC751" s="307"/>
      <c r="BD751" s="307"/>
      <c r="BE751" s="307"/>
      <c r="BG751" s="306"/>
      <c r="BH751" s="306"/>
      <c r="BI751" s="306"/>
      <c r="BJ751" s="307"/>
      <c r="BK751" s="307"/>
      <c r="BL751" s="307"/>
      <c r="BM751" s="307"/>
      <c r="BN751" s="307"/>
      <c r="BO751" s="307"/>
      <c r="BP751" s="307"/>
      <c r="BQ751" s="307"/>
    </row>
    <row r="752" spans="7:69" s="302" customFormat="1" ht="11.75" customHeight="1" x14ac:dyDescent="0.15">
      <c r="G752" s="300"/>
      <c r="H752" s="301"/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  <c r="Y752" s="301"/>
      <c r="Z752" s="301"/>
      <c r="AA752" s="301"/>
      <c r="AB752" s="301"/>
      <c r="AC752" s="301"/>
      <c r="AD752" s="301"/>
      <c r="AE752" s="301"/>
      <c r="AH752" s="306"/>
      <c r="AI752" s="306"/>
      <c r="AJ752" s="307"/>
      <c r="AK752" s="307"/>
      <c r="AL752" s="307"/>
      <c r="AM752" s="307"/>
      <c r="AN752" s="307"/>
      <c r="AO752" s="307"/>
      <c r="AP752" s="307"/>
      <c r="AQ752" s="307"/>
      <c r="AR752" s="307"/>
      <c r="AU752" s="306"/>
      <c r="AV752" s="306"/>
      <c r="AW752" s="306"/>
      <c r="AX752" s="307"/>
      <c r="AY752" s="307"/>
      <c r="AZ752" s="307"/>
      <c r="BA752" s="307"/>
      <c r="BB752" s="307"/>
      <c r="BC752" s="307"/>
      <c r="BD752" s="307"/>
      <c r="BE752" s="301"/>
      <c r="BG752" s="306"/>
      <c r="BH752" s="306"/>
      <c r="BI752" s="306"/>
      <c r="BJ752" s="307"/>
      <c r="BK752" s="307"/>
      <c r="BL752" s="307"/>
      <c r="BM752" s="307"/>
      <c r="BN752" s="307"/>
      <c r="BO752" s="307"/>
      <c r="BP752" s="307"/>
      <c r="BQ752" s="301"/>
    </row>
    <row r="753" spans="7:69" s="302" customFormat="1" ht="11.75" customHeight="1" x14ac:dyDescent="0.15">
      <c r="G753" s="300"/>
      <c r="H753" s="301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  <c r="Y753" s="301"/>
      <c r="Z753" s="301"/>
      <c r="AA753" s="301"/>
      <c r="AB753" s="301"/>
      <c r="AC753" s="301"/>
      <c r="AD753" s="301"/>
      <c r="AE753" s="301"/>
      <c r="AH753" s="306"/>
      <c r="AI753" s="306"/>
      <c r="AJ753" s="307"/>
      <c r="AK753" s="307"/>
      <c r="AL753" s="307"/>
      <c r="AM753" s="307"/>
      <c r="AN753" s="307"/>
      <c r="AO753" s="307"/>
      <c r="AP753" s="307"/>
      <c r="AQ753" s="307"/>
      <c r="AR753" s="307"/>
      <c r="AU753" s="327"/>
      <c r="AV753" s="306"/>
      <c r="AW753" s="306"/>
      <c r="AX753" s="307"/>
      <c r="AY753" s="307"/>
      <c r="AZ753" s="307"/>
      <c r="BA753" s="307"/>
      <c r="BB753" s="307"/>
      <c r="BC753" s="307"/>
      <c r="BD753" s="307"/>
      <c r="BE753" s="301"/>
      <c r="BG753" s="327"/>
      <c r="BH753" s="306"/>
      <c r="BI753" s="306"/>
      <c r="BJ753" s="307"/>
      <c r="BK753" s="307"/>
      <c r="BL753" s="307"/>
      <c r="BM753" s="307"/>
      <c r="BN753" s="307"/>
      <c r="BO753" s="307"/>
      <c r="BP753" s="307"/>
      <c r="BQ753" s="301"/>
    </row>
    <row r="754" spans="7:69" s="302" customFormat="1" ht="11.75" customHeight="1" x14ac:dyDescent="0.15">
      <c r="G754" s="300"/>
      <c r="H754" s="301"/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  <c r="Y754" s="301"/>
      <c r="Z754" s="301"/>
      <c r="AA754" s="301"/>
      <c r="AB754" s="301"/>
      <c r="AC754" s="301"/>
      <c r="AD754" s="301"/>
      <c r="AE754" s="301"/>
      <c r="AH754" s="306"/>
      <c r="AI754" s="306"/>
      <c r="AJ754" s="307"/>
      <c r="AK754" s="307"/>
      <c r="AL754" s="307"/>
      <c r="AM754" s="307"/>
      <c r="AN754" s="307"/>
      <c r="AO754" s="307"/>
      <c r="AP754" s="307"/>
      <c r="AQ754" s="307"/>
      <c r="AR754" s="307"/>
      <c r="AU754" s="306"/>
      <c r="AV754" s="306"/>
      <c r="AW754" s="306"/>
      <c r="AX754" s="307"/>
      <c r="AY754" s="307"/>
      <c r="AZ754" s="307"/>
      <c r="BA754" s="307"/>
      <c r="BB754" s="307"/>
      <c r="BC754" s="307"/>
      <c r="BD754" s="307"/>
      <c r="BE754" s="307"/>
      <c r="BG754" s="306"/>
      <c r="BH754" s="306"/>
      <c r="BI754" s="306"/>
      <c r="BJ754" s="307"/>
      <c r="BK754" s="307"/>
      <c r="BL754" s="307"/>
      <c r="BM754" s="307"/>
      <c r="BN754" s="307"/>
      <c r="BO754" s="307"/>
      <c r="BP754" s="307"/>
      <c r="BQ754" s="307"/>
    </row>
    <row r="755" spans="7:69" s="302" customFormat="1" ht="11.75" customHeight="1" x14ac:dyDescent="0.15">
      <c r="G755" s="300"/>
      <c r="H755" s="301"/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  <c r="Y755" s="301"/>
      <c r="Z755" s="301"/>
      <c r="AA755" s="301"/>
      <c r="AB755" s="301"/>
      <c r="AC755" s="301"/>
      <c r="AD755" s="301"/>
      <c r="AE755" s="301"/>
      <c r="AH755" s="306"/>
      <c r="AI755" s="306"/>
      <c r="AJ755" s="307"/>
      <c r="AK755" s="307"/>
      <c r="AL755" s="307"/>
      <c r="AM755" s="307"/>
      <c r="AN755" s="307"/>
      <c r="AO755" s="307"/>
      <c r="AP755" s="307"/>
      <c r="AQ755" s="307"/>
      <c r="AR755" s="307"/>
      <c r="AU755" s="306"/>
      <c r="AV755" s="306"/>
      <c r="AW755" s="306"/>
      <c r="AX755" s="307"/>
      <c r="AY755" s="307"/>
      <c r="AZ755" s="307"/>
      <c r="BA755" s="307"/>
      <c r="BB755" s="307"/>
      <c r="BC755" s="307"/>
      <c r="BD755" s="307"/>
      <c r="BE755" s="307"/>
      <c r="BG755" s="306"/>
      <c r="BH755" s="306"/>
      <c r="BI755" s="306"/>
      <c r="BJ755" s="307"/>
      <c r="BK755" s="307"/>
      <c r="BL755" s="307"/>
      <c r="BM755" s="307"/>
      <c r="BN755" s="307"/>
      <c r="BO755" s="307"/>
      <c r="BP755" s="307"/>
      <c r="BQ755" s="307"/>
    </row>
    <row r="756" spans="7:69" s="302" customFormat="1" ht="11.75" customHeight="1" x14ac:dyDescent="0.15">
      <c r="G756" s="300"/>
      <c r="H756" s="301"/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  <c r="Y756" s="301"/>
      <c r="Z756" s="301"/>
      <c r="AA756" s="301"/>
      <c r="AB756" s="301"/>
      <c r="AC756" s="301"/>
      <c r="AD756" s="301"/>
      <c r="AE756" s="301"/>
      <c r="AH756" s="327"/>
      <c r="AI756" s="306"/>
      <c r="AJ756" s="307"/>
      <c r="AK756" s="307"/>
      <c r="AL756" s="307"/>
      <c r="AM756" s="307"/>
      <c r="AN756" s="307"/>
      <c r="AO756" s="307"/>
      <c r="AP756" s="307"/>
      <c r="AQ756" s="307"/>
      <c r="AR756" s="307"/>
      <c r="AU756" s="306"/>
      <c r="AV756" s="306"/>
      <c r="AW756" s="306"/>
      <c r="AX756" s="307"/>
      <c r="AY756" s="307"/>
      <c r="AZ756" s="307"/>
      <c r="BA756" s="307"/>
      <c r="BB756" s="307"/>
      <c r="BC756" s="307"/>
      <c r="BD756" s="307"/>
      <c r="BE756" s="307"/>
      <c r="BG756" s="306"/>
      <c r="BH756" s="306"/>
      <c r="BI756" s="306"/>
      <c r="BJ756" s="307"/>
      <c r="BK756" s="307"/>
      <c r="BL756" s="307"/>
      <c r="BM756" s="307"/>
      <c r="BN756" s="307"/>
      <c r="BO756" s="307"/>
      <c r="BP756" s="307"/>
      <c r="BQ756" s="307"/>
    </row>
    <row r="757" spans="7:69" s="302" customFormat="1" ht="11.75" customHeight="1" x14ac:dyDescent="0.15">
      <c r="G757" s="300"/>
      <c r="H757" s="301"/>
      <c r="I757" s="301"/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  <c r="Y757" s="301"/>
      <c r="Z757" s="301"/>
      <c r="AA757" s="301"/>
      <c r="AB757" s="301"/>
      <c r="AC757" s="301"/>
      <c r="AD757" s="301"/>
      <c r="AE757" s="301"/>
      <c r="AH757" s="306"/>
      <c r="AI757" s="306"/>
      <c r="AJ757" s="307"/>
      <c r="AK757" s="307"/>
      <c r="AL757" s="307"/>
      <c r="AM757" s="307"/>
      <c r="AN757" s="307"/>
      <c r="AO757" s="307"/>
      <c r="AP757" s="307"/>
      <c r="AQ757" s="307"/>
      <c r="AR757" s="307"/>
      <c r="AU757" s="306"/>
      <c r="AV757" s="306"/>
      <c r="AW757" s="306"/>
      <c r="AX757" s="307"/>
      <c r="AY757" s="307"/>
      <c r="AZ757" s="307"/>
      <c r="BA757" s="307"/>
      <c r="BB757" s="307"/>
      <c r="BC757" s="307"/>
      <c r="BD757" s="307"/>
      <c r="BE757" s="307"/>
      <c r="BG757" s="306"/>
      <c r="BH757" s="306"/>
      <c r="BI757" s="306"/>
      <c r="BJ757" s="307"/>
      <c r="BK757" s="307"/>
      <c r="BL757" s="307"/>
      <c r="BM757" s="307"/>
      <c r="BN757" s="307"/>
      <c r="BO757" s="307"/>
      <c r="BP757" s="307"/>
      <c r="BQ757" s="307"/>
    </row>
    <row r="758" spans="7:69" s="302" customFormat="1" ht="11.75" customHeight="1" x14ac:dyDescent="0.15">
      <c r="G758" s="300"/>
      <c r="H758" s="301"/>
      <c r="I758" s="301"/>
      <c r="J758" s="301"/>
      <c r="K758" s="301"/>
      <c r="L758" s="301"/>
      <c r="M758" s="301"/>
      <c r="N758" s="301"/>
      <c r="O758" s="301"/>
      <c r="P758" s="301"/>
      <c r="Q758" s="301"/>
      <c r="R758" s="301"/>
      <c r="S758" s="301"/>
      <c r="T758" s="301"/>
      <c r="U758" s="301"/>
      <c r="V758" s="301"/>
      <c r="W758" s="301"/>
      <c r="X758" s="301"/>
      <c r="Y758" s="301"/>
      <c r="Z758" s="301"/>
      <c r="AA758" s="301"/>
      <c r="AB758" s="301"/>
      <c r="AC758" s="301"/>
      <c r="AD758" s="301"/>
      <c r="AE758" s="301"/>
      <c r="AH758" s="306"/>
      <c r="AI758" s="306"/>
      <c r="AJ758" s="307"/>
      <c r="AK758" s="307"/>
      <c r="AL758" s="307"/>
      <c r="AM758" s="307"/>
      <c r="AN758" s="307"/>
      <c r="AO758" s="307"/>
      <c r="AP758" s="307"/>
      <c r="AQ758" s="307"/>
      <c r="AR758" s="307"/>
      <c r="AU758" s="306"/>
      <c r="AV758" s="306"/>
      <c r="AW758" s="306"/>
      <c r="AX758" s="307"/>
      <c r="AY758" s="307"/>
      <c r="AZ758" s="307"/>
      <c r="BA758" s="307"/>
      <c r="BB758" s="307"/>
      <c r="BC758" s="307"/>
      <c r="BD758" s="307"/>
      <c r="BE758" s="301"/>
      <c r="BG758" s="306"/>
      <c r="BH758" s="306"/>
      <c r="BI758" s="306"/>
      <c r="BJ758" s="307"/>
      <c r="BK758" s="307"/>
      <c r="BL758" s="307"/>
      <c r="BM758" s="307"/>
      <c r="BN758" s="307"/>
      <c r="BO758" s="307"/>
      <c r="BP758" s="307"/>
      <c r="BQ758" s="301"/>
    </row>
    <row r="759" spans="7:69" s="302" customFormat="1" ht="11.75" customHeight="1" x14ac:dyDescent="0.15">
      <c r="G759" s="300"/>
      <c r="H759" s="301"/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  <c r="Y759" s="301"/>
      <c r="Z759" s="301"/>
      <c r="AA759" s="301"/>
      <c r="AB759" s="301"/>
      <c r="AC759" s="301"/>
      <c r="AD759" s="301"/>
      <c r="AE759" s="301"/>
      <c r="AH759" s="306"/>
      <c r="AI759" s="306"/>
      <c r="AJ759" s="307"/>
      <c r="AK759" s="307"/>
      <c r="AL759" s="307"/>
      <c r="AM759" s="307"/>
      <c r="AN759" s="307"/>
      <c r="AO759" s="307"/>
      <c r="AP759" s="307"/>
      <c r="AQ759" s="307"/>
      <c r="AR759" s="307"/>
      <c r="AU759" s="327"/>
      <c r="AV759" s="306"/>
      <c r="AW759" s="306"/>
      <c r="AX759" s="307"/>
      <c r="AY759" s="307"/>
      <c r="AZ759" s="307"/>
      <c r="BA759" s="307"/>
      <c r="BB759" s="307"/>
      <c r="BC759" s="307"/>
      <c r="BD759" s="307"/>
      <c r="BE759" s="301"/>
      <c r="BG759" s="327"/>
      <c r="BH759" s="306"/>
      <c r="BI759" s="306"/>
      <c r="BJ759" s="307"/>
      <c r="BK759" s="307"/>
      <c r="BL759" s="307"/>
      <c r="BM759" s="307"/>
      <c r="BN759" s="307"/>
      <c r="BO759" s="307"/>
      <c r="BP759" s="307"/>
      <c r="BQ759" s="301"/>
    </row>
    <row r="760" spans="7:69" s="302" customFormat="1" ht="11.75" customHeight="1" x14ac:dyDescent="0.15">
      <c r="G760" s="300"/>
      <c r="H760" s="301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  <c r="Y760" s="301"/>
      <c r="Z760" s="301"/>
      <c r="AA760" s="301"/>
      <c r="AB760" s="301"/>
      <c r="AC760" s="301"/>
      <c r="AD760" s="301"/>
      <c r="AE760" s="301"/>
      <c r="AH760" s="306"/>
      <c r="AI760" s="306"/>
      <c r="AJ760" s="307"/>
      <c r="AK760" s="307"/>
      <c r="AL760" s="307"/>
      <c r="AM760" s="307"/>
      <c r="AN760" s="307"/>
      <c r="AO760" s="307"/>
      <c r="AP760" s="307"/>
      <c r="AQ760" s="307"/>
      <c r="AR760" s="307"/>
      <c r="AU760" s="306"/>
      <c r="AV760" s="306"/>
      <c r="AW760" s="306"/>
      <c r="AX760" s="307"/>
      <c r="AY760" s="307"/>
      <c r="AZ760" s="307"/>
      <c r="BA760" s="307"/>
      <c r="BB760" s="307"/>
      <c r="BC760" s="307"/>
      <c r="BD760" s="307"/>
      <c r="BE760" s="307"/>
      <c r="BG760" s="306"/>
      <c r="BH760" s="306"/>
      <c r="BI760" s="306"/>
      <c r="BJ760" s="307"/>
      <c r="BK760" s="307"/>
      <c r="BL760" s="307"/>
      <c r="BM760" s="307"/>
      <c r="BN760" s="307"/>
      <c r="BO760" s="307"/>
      <c r="BP760" s="307"/>
      <c r="BQ760" s="307"/>
    </row>
    <row r="761" spans="7:69" s="302" customFormat="1" ht="11.75" customHeight="1" x14ac:dyDescent="0.15">
      <c r="G761" s="300"/>
      <c r="H761" s="301"/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  <c r="Y761" s="301"/>
      <c r="Z761" s="301"/>
      <c r="AA761" s="301"/>
      <c r="AB761" s="301"/>
      <c r="AC761" s="301"/>
      <c r="AD761" s="301"/>
      <c r="AE761" s="301"/>
      <c r="AH761" s="306"/>
      <c r="AI761" s="306"/>
      <c r="AJ761" s="307"/>
      <c r="AK761" s="307"/>
      <c r="AL761" s="307"/>
      <c r="AM761" s="307"/>
      <c r="AN761" s="307"/>
      <c r="AO761" s="307"/>
      <c r="AP761" s="307"/>
      <c r="AQ761" s="307"/>
      <c r="AR761" s="307"/>
      <c r="AU761" s="306"/>
      <c r="AV761" s="306"/>
      <c r="AW761" s="306"/>
      <c r="AX761" s="307"/>
      <c r="AY761" s="307"/>
      <c r="AZ761" s="307"/>
      <c r="BA761" s="307"/>
      <c r="BB761" s="307"/>
      <c r="BC761" s="307"/>
      <c r="BD761" s="307"/>
      <c r="BE761" s="307"/>
      <c r="BG761" s="306"/>
      <c r="BH761" s="306"/>
      <c r="BI761" s="306"/>
      <c r="BJ761" s="307"/>
      <c r="BK761" s="307"/>
      <c r="BL761" s="307"/>
      <c r="BM761" s="307"/>
      <c r="BN761" s="307"/>
      <c r="BO761" s="307"/>
      <c r="BP761" s="307"/>
      <c r="BQ761" s="307"/>
    </row>
    <row r="762" spans="7:69" s="302" customFormat="1" ht="11.75" customHeight="1" x14ac:dyDescent="0.15">
      <c r="G762" s="300"/>
      <c r="H762" s="301"/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  <c r="Y762" s="301"/>
      <c r="Z762" s="301"/>
      <c r="AA762" s="301"/>
      <c r="AB762" s="301"/>
      <c r="AC762" s="301"/>
      <c r="AD762" s="301"/>
      <c r="AE762" s="301"/>
      <c r="AH762" s="327"/>
      <c r="AI762" s="306"/>
      <c r="AJ762" s="307"/>
      <c r="AK762" s="307"/>
      <c r="AL762" s="307"/>
      <c r="AM762" s="307"/>
      <c r="AN762" s="307"/>
      <c r="AO762" s="307"/>
      <c r="AP762" s="307"/>
      <c r="AQ762" s="307"/>
      <c r="AR762" s="307"/>
      <c r="AU762" s="306"/>
      <c r="AV762" s="306"/>
      <c r="AW762" s="306"/>
      <c r="AX762" s="307"/>
      <c r="AY762" s="307"/>
      <c r="AZ762" s="307"/>
      <c r="BA762" s="307"/>
      <c r="BB762" s="307"/>
      <c r="BC762" s="307"/>
      <c r="BD762" s="307"/>
      <c r="BE762" s="307"/>
      <c r="BG762" s="306"/>
      <c r="BH762" s="306"/>
      <c r="BI762" s="306"/>
      <c r="BJ762" s="307"/>
      <c r="BK762" s="307"/>
      <c r="BL762" s="307"/>
      <c r="BM762" s="307"/>
      <c r="BN762" s="307"/>
      <c r="BO762" s="307"/>
      <c r="BP762" s="307"/>
      <c r="BQ762" s="307"/>
    </row>
    <row r="763" spans="7:69" s="302" customFormat="1" ht="11.75" customHeight="1" x14ac:dyDescent="0.15">
      <c r="G763" s="300"/>
      <c r="H763" s="301"/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  <c r="Y763" s="301"/>
      <c r="Z763" s="301"/>
      <c r="AA763" s="301"/>
      <c r="AB763" s="301"/>
      <c r="AC763" s="301"/>
      <c r="AD763" s="301"/>
      <c r="AE763" s="301"/>
      <c r="AH763" s="306"/>
      <c r="AI763" s="306"/>
      <c r="AJ763" s="307"/>
      <c r="AK763" s="307"/>
      <c r="AL763" s="307"/>
      <c r="AM763" s="307"/>
      <c r="AN763" s="307"/>
      <c r="AO763" s="307"/>
      <c r="AP763" s="307"/>
      <c r="AQ763" s="307"/>
      <c r="AR763" s="307"/>
      <c r="AU763" s="306"/>
      <c r="AV763" s="306"/>
      <c r="AW763" s="306"/>
      <c r="AX763" s="307"/>
      <c r="AY763" s="307"/>
      <c r="AZ763" s="307"/>
      <c r="BA763" s="307"/>
      <c r="BB763" s="307"/>
      <c r="BC763" s="307"/>
      <c r="BD763" s="307"/>
      <c r="BE763" s="307"/>
      <c r="BG763" s="306"/>
      <c r="BH763" s="306"/>
      <c r="BI763" s="306"/>
      <c r="BJ763" s="307"/>
      <c r="BK763" s="307"/>
      <c r="BL763" s="307"/>
      <c r="BM763" s="307"/>
      <c r="BN763" s="307"/>
      <c r="BO763" s="307"/>
      <c r="BP763" s="307"/>
      <c r="BQ763" s="307"/>
    </row>
    <row r="764" spans="7:69" s="302" customFormat="1" ht="11.75" customHeight="1" x14ac:dyDescent="0.15">
      <c r="G764" s="300"/>
      <c r="H764" s="301"/>
      <c r="I764" s="301"/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  <c r="Y764" s="301"/>
      <c r="Z764" s="301"/>
      <c r="AA764" s="301"/>
      <c r="AB764" s="301"/>
      <c r="AC764" s="301"/>
      <c r="AD764" s="301"/>
      <c r="AE764" s="301"/>
      <c r="AH764" s="306"/>
      <c r="AI764" s="306"/>
      <c r="AJ764" s="307"/>
      <c r="AK764" s="307"/>
      <c r="AL764" s="307"/>
      <c r="AM764" s="307"/>
      <c r="AN764" s="307"/>
      <c r="AO764" s="307"/>
      <c r="AP764" s="307"/>
      <c r="AQ764" s="307"/>
      <c r="AR764" s="307"/>
      <c r="AU764" s="306"/>
      <c r="AV764" s="306"/>
      <c r="AW764" s="306"/>
      <c r="AX764" s="307"/>
      <c r="AY764" s="307"/>
      <c r="AZ764" s="307"/>
      <c r="BA764" s="307"/>
      <c r="BB764" s="307"/>
      <c r="BC764" s="307"/>
      <c r="BD764" s="307"/>
      <c r="BE764" s="301"/>
      <c r="BG764" s="306"/>
      <c r="BH764" s="306"/>
      <c r="BI764" s="306"/>
      <c r="BJ764" s="307"/>
      <c r="BK764" s="307"/>
      <c r="BL764" s="307"/>
      <c r="BM764" s="307"/>
      <c r="BN764" s="307"/>
      <c r="BO764" s="307"/>
      <c r="BP764" s="307"/>
      <c r="BQ764" s="301"/>
    </row>
    <row r="765" spans="7:69" s="302" customFormat="1" ht="11.75" customHeight="1" x14ac:dyDescent="0.15">
      <c r="G765" s="300"/>
      <c r="H765" s="301"/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  <c r="Y765" s="301"/>
      <c r="Z765" s="301"/>
      <c r="AA765" s="301"/>
      <c r="AB765" s="301"/>
      <c r="AC765" s="301"/>
      <c r="AD765" s="301"/>
      <c r="AE765" s="301"/>
      <c r="AH765" s="306"/>
      <c r="AI765" s="306"/>
      <c r="AJ765" s="307"/>
      <c r="AK765" s="307"/>
      <c r="AL765" s="307"/>
      <c r="AM765" s="307"/>
      <c r="AN765" s="307"/>
      <c r="AO765" s="307"/>
      <c r="AP765" s="307"/>
      <c r="AQ765" s="307"/>
      <c r="AR765" s="307"/>
      <c r="AU765" s="327"/>
      <c r="AV765" s="306"/>
      <c r="AW765" s="306"/>
      <c r="AX765" s="307"/>
      <c r="AY765" s="307"/>
      <c r="AZ765" s="307"/>
      <c r="BA765" s="307"/>
      <c r="BB765" s="307"/>
      <c r="BC765" s="307"/>
      <c r="BD765" s="307"/>
      <c r="BE765" s="301"/>
      <c r="BG765" s="327"/>
      <c r="BH765" s="306"/>
      <c r="BI765" s="306"/>
      <c r="BJ765" s="307"/>
      <c r="BK765" s="307"/>
      <c r="BL765" s="307"/>
      <c r="BM765" s="307"/>
      <c r="BN765" s="307"/>
      <c r="BO765" s="307"/>
      <c r="BP765" s="307"/>
      <c r="BQ765" s="301"/>
    </row>
    <row r="766" spans="7:69" s="302" customFormat="1" ht="11.75" customHeight="1" x14ac:dyDescent="0.15">
      <c r="G766" s="300"/>
      <c r="H766" s="301"/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  <c r="Y766" s="301"/>
      <c r="Z766" s="301"/>
      <c r="AA766" s="301"/>
      <c r="AB766" s="301"/>
      <c r="AC766" s="301"/>
      <c r="AD766" s="301"/>
      <c r="AE766" s="301"/>
      <c r="AH766" s="306"/>
      <c r="AI766" s="306"/>
      <c r="AJ766" s="307"/>
      <c r="AK766" s="307"/>
      <c r="AL766" s="307"/>
      <c r="AM766" s="307"/>
      <c r="AN766" s="307"/>
      <c r="AO766" s="307"/>
      <c r="AP766" s="307"/>
      <c r="AQ766" s="307"/>
      <c r="AR766" s="307"/>
      <c r="AU766" s="306"/>
      <c r="AV766" s="306"/>
      <c r="AW766" s="306"/>
      <c r="AX766" s="307"/>
      <c r="AY766" s="307"/>
      <c r="AZ766" s="307"/>
      <c r="BA766" s="307"/>
      <c r="BB766" s="307"/>
      <c r="BC766" s="307"/>
      <c r="BD766" s="307"/>
      <c r="BE766" s="307"/>
      <c r="BG766" s="306"/>
      <c r="BH766" s="306"/>
      <c r="BI766" s="306"/>
      <c r="BJ766" s="307"/>
      <c r="BK766" s="307"/>
      <c r="BL766" s="307"/>
      <c r="BM766" s="307"/>
      <c r="BN766" s="307"/>
      <c r="BO766" s="307"/>
      <c r="BP766" s="307"/>
      <c r="BQ766" s="307"/>
    </row>
    <row r="767" spans="7:69" s="302" customFormat="1" ht="11.75" customHeight="1" x14ac:dyDescent="0.15">
      <c r="G767" s="300"/>
      <c r="H767" s="301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  <c r="Y767" s="301"/>
      <c r="Z767" s="301"/>
      <c r="AA767" s="301"/>
      <c r="AB767" s="301"/>
      <c r="AC767" s="301"/>
      <c r="AD767" s="301"/>
      <c r="AE767" s="301"/>
      <c r="AH767" s="306"/>
      <c r="AI767" s="306"/>
      <c r="AJ767" s="307"/>
      <c r="AK767" s="307"/>
      <c r="AL767" s="307"/>
      <c r="AM767" s="307"/>
      <c r="AN767" s="307"/>
      <c r="AO767" s="307"/>
      <c r="AP767" s="307"/>
      <c r="AQ767" s="307"/>
      <c r="AR767" s="307"/>
      <c r="AU767" s="306"/>
      <c r="AV767" s="306"/>
      <c r="AW767" s="306"/>
      <c r="AX767" s="307"/>
      <c r="AY767" s="307"/>
      <c r="AZ767" s="307"/>
      <c r="BA767" s="307"/>
      <c r="BB767" s="307"/>
      <c r="BC767" s="307"/>
      <c r="BD767" s="307"/>
      <c r="BE767" s="307"/>
      <c r="BG767" s="306"/>
      <c r="BH767" s="306"/>
      <c r="BI767" s="306"/>
      <c r="BJ767" s="307"/>
      <c r="BK767" s="307"/>
      <c r="BL767" s="307"/>
      <c r="BM767" s="307"/>
      <c r="BN767" s="307"/>
      <c r="BO767" s="307"/>
      <c r="BP767" s="307"/>
      <c r="BQ767" s="307"/>
    </row>
    <row r="768" spans="7:69" s="302" customFormat="1" ht="11.75" customHeight="1" x14ac:dyDescent="0.15">
      <c r="G768" s="300"/>
      <c r="H768" s="301"/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  <c r="Y768" s="301"/>
      <c r="Z768" s="301"/>
      <c r="AA768" s="301"/>
      <c r="AB768" s="301"/>
      <c r="AC768" s="301"/>
      <c r="AD768" s="301"/>
      <c r="AE768" s="301"/>
      <c r="AH768" s="327"/>
      <c r="AI768" s="306"/>
      <c r="AJ768" s="307"/>
      <c r="AK768" s="307"/>
      <c r="AL768" s="307"/>
      <c r="AM768" s="307"/>
      <c r="AN768" s="307"/>
      <c r="AO768" s="307"/>
      <c r="AP768" s="307"/>
      <c r="AQ768" s="307"/>
      <c r="AR768" s="307"/>
      <c r="AU768" s="306"/>
      <c r="AV768" s="306"/>
      <c r="AW768" s="306"/>
      <c r="AX768" s="307"/>
      <c r="AY768" s="307"/>
      <c r="AZ768" s="307"/>
      <c r="BA768" s="307"/>
      <c r="BB768" s="307"/>
      <c r="BC768" s="307"/>
      <c r="BD768" s="307"/>
      <c r="BE768" s="307"/>
      <c r="BG768" s="306"/>
      <c r="BH768" s="306"/>
      <c r="BI768" s="306"/>
      <c r="BJ768" s="307"/>
      <c r="BK768" s="307"/>
      <c r="BL768" s="307"/>
      <c r="BM768" s="307"/>
      <c r="BN768" s="307"/>
      <c r="BO768" s="307"/>
      <c r="BP768" s="307"/>
      <c r="BQ768" s="307"/>
    </row>
    <row r="769" spans="7:69" s="302" customFormat="1" ht="11.75" customHeight="1" x14ac:dyDescent="0.15">
      <c r="G769" s="300"/>
      <c r="H769" s="301"/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  <c r="Y769" s="301"/>
      <c r="Z769" s="301"/>
      <c r="AA769" s="301"/>
      <c r="AB769" s="301"/>
      <c r="AC769" s="301"/>
      <c r="AD769" s="301"/>
      <c r="AE769" s="301"/>
      <c r="AH769" s="306"/>
      <c r="AI769" s="306"/>
      <c r="AJ769" s="307"/>
      <c r="AK769" s="307"/>
      <c r="AL769" s="307"/>
      <c r="AM769" s="307"/>
      <c r="AN769" s="307"/>
      <c r="AO769" s="307"/>
      <c r="AP769" s="307"/>
      <c r="AQ769" s="307"/>
      <c r="AR769" s="307"/>
      <c r="AU769" s="306"/>
      <c r="AV769" s="306"/>
      <c r="AW769" s="306"/>
      <c r="AX769" s="307"/>
      <c r="AY769" s="307"/>
      <c r="AZ769" s="307"/>
      <c r="BA769" s="307"/>
      <c r="BB769" s="307"/>
      <c r="BC769" s="307"/>
      <c r="BD769" s="307"/>
      <c r="BE769" s="307"/>
      <c r="BG769" s="306"/>
      <c r="BH769" s="306"/>
      <c r="BI769" s="306"/>
      <c r="BJ769" s="307"/>
      <c r="BK769" s="307"/>
      <c r="BL769" s="307"/>
      <c r="BM769" s="307"/>
      <c r="BN769" s="307"/>
      <c r="BO769" s="307"/>
      <c r="BP769" s="307"/>
      <c r="BQ769" s="307"/>
    </row>
    <row r="770" spans="7:69" s="302" customFormat="1" ht="11.75" customHeight="1" x14ac:dyDescent="0.15">
      <c r="G770" s="300"/>
      <c r="H770" s="301"/>
      <c r="I770" s="301"/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  <c r="Y770" s="301"/>
      <c r="Z770" s="301"/>
      <c r="AA770" s="301"/>
      <c r="AB770" s="301"/>
      <c r="AC770" s="301"/>
      <c r="AD770" s="301"/>
      <c r="AE770" s="301"/>
      <c r="AH770" s="306"/>
      <c r="AI770" s="306"/>
      <c r="AJ770" s="307"/>
      <c r="AK770" s="307"/>
      <c r="AL770" s="307"/>
      <c r="AM770" s="307"/>
      <c r="AN770" s="307"/>
      <c r="AO770" s="307"/>
      <c r="AP770" s="307"/>
      <c r="AQ770" s="307"/>
      <c r="AR770" s="307"/>
      <c r="AU770" s="306"/>
      <c r="AV770" s="306"/>
      <c r="AW770" s="306"/>
      <c r="AX770" s="307"/>
      <c r="AY770" s="307"/>
      <c r="AZ770" s="307"/>
      <c r="BA770" s="307"/>
      <c r="BB770" s="307"/>
      <c r="BC770" s="307"/>
      <c r="BD770" s="307"/>
      <c r="BE770" s="301"/>
      <c r="BG770" s="306"/>
      <c r="BH770" s="306"/>
      <c r="BI770" s="306"/>
      <c r="BJ770" s="307"/>
      <c r="BK770" s="307"/>
      <c r="BL770" s="307"/>
      <c r="BM770" s="307"/>
      <c r="BN770" s="307"/>
      <c r="BO770" s="307"/>
      <c r="BP770" s="307"/>
      <c r="BQ770" s="301"/>
    </row>
    <row r="771" spans="7:69" s="302" customFormat="1" ht="11.75" customHeight="1" x14ac:dyDescent="0.15">
      <c r="G771" s="300"/>
      <c r="H771" s="301"/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  <c r="Y771" s="301"/>
      <c r="Z771" s="301"/>
      <c r="AA771" s="301"/>
      <c r="AB771" s="301"/>
      <c r="AC771" s="301"/>
      <c r="AD771" s="301"/>
      <c r="AE771" s="301"/>
      <c r="AH771" s="306"/>
      <c r="AI771" s="306"/>
      <c r="AJ771" s="307"/>
      <c r="AK771" s="307"/>
      <c r="AL771" s="307"/>
      <c r="AM771" s="307"/>
      <c r="AN771" s="307"/>
      <c r="AO771" s="307"/>
      <c r="AP771" s="307"/>
      <c r="AQ771" s="307"/>
      <c r="AR771" s="307"/>
      <c r="AU771" s="327"/>
      <c r="AV771" s="306"/>
      <c r="AW771" s="306"/>
      <c r="AX771" s="307"/>
      <c r="AY771" s="307"/>
      <c r="AZ771" s="307"/>
      <c r="BA771" s="307"/>
      <c r="BB771" s="307"/>
      <c r="BC771" s="307"/>
      <c r="BD771" s="307"/>
      <c r="BE771" s="301"/>
      <c r="BG771" s="327"/>
      <c r="BH771" s="306"/>
      <c r="BI771" s="306"/>
      <c r="BJ771" s="307"/>
      <c r="BK771" s="307"/>
      <c r="BL771" s="307"/>
      <c r="BM771" s="307"/>
      <c r="BN771" s="307"/>
      <c r="BO771" s="307"/>
      <c r="BP771" s="307"/>
      <c r="BQ771" s="301"/>
    </row>
    <row r="772" spans="7:69" s="302" customFormat="1" ht="11.75" customHeight="1" x14ac:dyDescent="0.15">
      <c r="G772" s="300"/>
      <c r="H772" s="301"/>
      <c r="I772" s="301"/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  <c r="Y772" s="301"/>
      <c r="Z772" s="301"/>
      <c r="AA772" s="301"/>
      <c r="AB772" s="301"/>
      <c r="AC772" s="301"/>
      <c r="AD772" s="301"/>
      <c r="AE772" s="301"/>
      <c r="AH772" s="306"/>
      <c r="AI772" s="306"/>
      <c r="AJ772" s="307"/>
      <c r="AK772" s="307"/>
      <c r="AL772" s="307"/>
      <c r="AM772" s="307"/>
      <c r="AN772" s="307"/>
      <c r="AO772" s="307"/>
      <c r="AP772" s="307"/>
      <c r="AQ772" s="307"/>
      <c r="AR772" s="307"/>
      <c r="AU772" s="306"/>
      <c r="AV772" s="306"/>
      <c r="AW772" s="306"/>
      <c r="AX772" s="307"/>
      <c r="AY772" s="307"/>
      <c r="AZ772" s="307"/>
      <c r="BA772" s="307"/>
      <c r="BB772" s="307"/>
      <c r="BC772" s="307"/>
      <c r="BD772" s="307"/>
      <c r="BE772" s="307"/>
      <c r="BG772" s="306"/>
      <c r="BH772" s="306"/>
      <c r="BI772" s="306"/>
      <c r="BJ772" s="307"/>
      <c r="BK772" s="307"/>
      <c r="BL772" s="307"/>
      <c r="BM772" s="307"/>
      <c r="BN772" s="307"/>
      <c r="BO772" s="307"/>
      <c r="BP772" s="307"/>
      <c r="BQ772" s="307"/>
    </row>
    <row r="773" spans="7:69" s="302" customFormat="1" ht="11.75" customHeight="1" x14ac:dyDescent="0.15">
      <c r="G773" s="300"/>
      <c r="H773" s="301"/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  <c r="Y773" s="301"/>
      <c r="Z773" s="301"/>
      <c r="AA773" s="301"/>
      <c r="AB773" s="301"/>
      <c r="AC773" s="301"/>
      <c r="AD773" s="301"/>
      <c r="AE773" s="301"/>
      <c r="AH773" s="306"/>
      <c r="AI773" s="306"/>
      <c r="AJ773" s="307"/>
      <c r="AK773" s="307"/>
      <c r="AL773" s="307"/>
      <c r="AM773" s="307"/>
      <c r="AN773" s="307"/>
      <c r="AO773" s="307"/>
      <c r="AP773" s="307"/>
      <c r="AQ773" s="307"/>
      <c r="AR773" s="307"/>
      <c r="AU773" s="306"/>
      <c r="AV773" s="306"/>
      <c r="AW773" s="306"/>
      <c r="AX773" s="307"/>
      <c r="AY773" s="307"/>
      <c r="AZ773" s="307"/>
      <c r="BA773" s="307"/>
      <c r="BB773" s="307"/>
      <c r="BC773" s="307"/>
      <c r="BD773" s="307"/>
      <c r="BE773" s="307"/>
      <c r="BG773" s="306"/>
      <c r="BH773" s="306"/>
      <c r="BI773" s="306"/>
      <c r="BJ773" s="307"/>
      <c r="BK773" s="307"/>
      <c r="BL773" s="307"/>
      <c r="BM773" s="307"/>
      <c r="BN773" s="307"/>
      <c r="BO773" s="307"/>
      <c r="BP773" s="307"/>
      <c r="BQ773" s="307"/>
    </row>
    <row r="774" spans="7:69" s="302" customFormat="1" ht="11.75" customHeight="1" x14ac:dyDescent="0.15">
      <c r="G774" s="300"/>
      <c r="H774" s="301"/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  <c r="Y774" s="301"/>
      <c r="Z774" s="301"/>
      <c r="AA774" s="301"/>
      <c r="AB774" s="301"/>
      <c r="AC774" s="301"/>
      <c r="AD774" s="301"/>
      <c r="AE774" s="301"/>
      <c r="AH774" s="327"/>
      <c r="AI774" s="306"/>
      <c r="AJ774" s="307"/>
      <c r="AK774" s="307"/>
      <c r="AL774" s="307"/>
      <c r="AM774" s="307"/>
      <c r="AN774" s="307"/>
      <c r="AO774" s="307"/>
      <c r="AP774" s="307"/>
      <c r="AQ774" s="307"/>
      <c r="AR774" s="307"/>
      <c r="AU774" s="306"/>
      <c r="AV774" s="306"/>
      <c r="AW774" s="306"/>
      <c r="AX774" s="307"/>
      <c r="AY774" s="307"/>
      <c r="AZ774" s="307"/>
      <c r="BA774" s="307"/>
      <c r="BB774" s="307"/>
      <c r="BC774" s="307"/>
      <c r="BD774" s="307"/>
      <c r="BE774" s="307"/>
      <c r="BG774" s="306"/>
      <c r="BH774" s="306"/>
      <c r="BI774" s="306"/>
      <c r="BJ774" s="307"/>
      <c r="BK774" s="307"/>
      <c r="BL774" s="307"/>
      <c r="BM774" s="307"/>
      <c r="BN774" s="307"/>
      <c r="BO774" s="307"/>
      <c r="BP774" s="307"/>
      <c r="BQ774" s="307"/>
    </row>
    <row r="775" spans="7:69" s="302" customFormat="1" ht="11.75" customHeight="1" x14ac:dyDescent="0.15">
      <c r="G775" s="300"/>
      <c r="H775" s="301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  <c r="Y775" s="301"/>
      <c r="Z775" s="301"/>
      <c r="AA775" s="301"/>
      <c r="AB775" s="301"/>
      <c r="AC775" s="301"/>
      <c r="AD775" s="301"/>
      <c r="AE775" s="301"/>
      <c r="AH775" s="306"/>
      <c r="AI775" s="306"/>
      <c r="AJ775" s="307"/>
      <c r="AK775" s="307"/>
      <c r="AL775" s="307"/>
      <c r="AM775" s="307"/>
      <c r="AN775" s="307"/>
      <c r="AO775" s="307"/>
      <c r="AP775" s="307"/>
      <c r="AQ775" s="307"/>
      <c r="AR775" s="307"/>
      <c r="AU775" s="306"/>
      <c r="AV775" s="306"/>
      <c r="AW775" s="306"/>
      <c r="AX775" s="307"/>
      <c r="AY775" s="307"/>
      <c r="AZ775" s="307"/>
      <c r="BA775" s="307"/>
      <c r="BB775" s="307"/>
      <c r="BC775" s="307"/>
      <c r="BD775" s="307"/>
      <c r="BE775" s="307"/>
      <c r="BG775" s="306"/>
      <c r="BH775" s="306"/>
      <c r="BI775" s="306"/>
      <c r="BJ775" s="307"/>
      <c r="BK775" s="307"/>
      <c r="BL775" s="307"/>
      <c r="BM775" s="307"/>
      <c r="BN775" s="307"/>
      <c r="BO775" s="307"/>
      <c r="BP775" s="307"/>
      <c r="BQ775" s="307"/>
    </row>
    <row r="776" spans="7:69" s="302" customFormat="1" ht="11.75" customHeight="1" x14ac:dyDescent="0.15">
      <c r="G776" s="300"/>
      <c r="H776" s="301"/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  <c r="Y776" s="301"/>
      <c r="Z776" s="301"/>
      <c r="AA776" s="301"/>
      <c r="AB776" s="301"/>
      <c r="AC776" s="301"/>
      <c r="AD776" s="301"/>
      <c r="AE776" s="301"/>
      <c r="AH776" s="306"/>
      <c r="AI776" s="306"/>
      <c r="AJ776" s="307"/>
      <c r="AK776" s="307"/>
      <c r="AL776" s="307"/>
      <c r="AM776" s="307"/>
      <c r="AN776" s="307"/>
      <c r="AO776" s="307"/>
      <c r="AP776" s="307"/>
      <c r="AQ776" s="307"/>
      <c r="AR776" s="307"/>
      <c r="AU776" s="306"/>
      <c r="AV776" s="306"/>
      <c r="AW776" s="306"/>
      <c r="AX776" s="307"/>
      <c r="AY776" s="307"/>
      <c r="AZ776" s="307"/>
      <c r="BA776" s="307"/>
      <c r="BB776" s="307"/>
      <c r="BC776" s="307"/>
      <c r="BD776" s="307"/>
      <c r="BE776" s="301"/>
      <c r="BG776" s="306"/>
      <c r="BH776" s="306"/>
      <c r="BI776" s="306"/>
      <c r="BJ776" s="307"/>
      <c r="BK776" s="307"/>
      <c r="BL776" s="307"/>
      <c r="BM776" s="307"/>
      <c r="BN776" s="307"/>
      <c r="BO776" s="307"/>
      <c r="BP776" s="307"/>
      <c r="BQ776" s="301"/>
    </row>
    <row r="777" spans="7:69" s="302" customFormat="1" ht="11.75" customHeight="1" x14ac:dyDescent="0.15">
      <c r="G777" s="300"/>
      <c r="H777" s="301"/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  <c r="Y777" s="301"/>
      <c r="Z777" s="301"/>
      <c r="AA777" s="301"/>
      <c r="AB777" s="301"/>
      <c r="AC777" s="301"/>
      <c r="AD777" s="301"/>
      <c r="AE777" s="301"/>
      <c r="AH777" s="306"/>
      <c r="AI777" s="306"/>
      <c r="AJ777" s="307"/>
      <c r="AK777" s="307"/>
      <c r="AL777" s="307"/>
      <c r="AM777" s="307"/>
      <c r="AN777" s="307"/>
      <c r="AO777" s="307"/>
      <c r="AP777" s="307"/>
      <c r="AQ777" s="307"/>
      <c r="AR777" s="307"/>
      <c r="AU777" s="306"/>
      <c r="AV777" s="306"/>
      <c r="AW777" s="306"/>
      <c r="AX777" s="307"/>
      <c r="AY777" s="307"/>
      <c r="AZ777" s="307"/>
      <c r="BA777" s="307"/>
      <c r="BB777" s="307"/>
      <c r="BC777" s="307"/>
      <c r="BD777" s="307"/>
      <c r="BE777" s="307"/>
      <c r="BG777" s="306"/>
      <c r="BH777" s="306"/>
      <c r="BI777" s="306"/>
      <c r="BJ777" s="307"/>
      <c r="BK777" s="307"/>
      <c r="BL777" s="307"/>
      <c r="BM777" s="307"/>
      <c r="BN777" s="307"/>
      <c r="BO777" s="307"/>
      <c r="BP777" s="307"/>
      <c r="BQ777" s="307"/>
    </row>
    <row r="778" spans="7:69" s="302" customFormat="1" ht="11.75" customHeight="1" x14ac:dyDescent="0.15">
      <c r="G778" s="300"/>
      <c r="H778" s="301"/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  <c r="Y778" s="301"/>
      <c r="Z778" s="301"/>
      <c r="AA778" s="301"/>
      <c r="AB778" s="301"/>
      <c r="AC778" s="301"/>
      <c r="AD778" s="301"/>
      <c r="AE778" s="301"/>
      <c r="AH778" s="306"/>
      <c r="AI778" s="306"/>
      <c r="AJ778" s="307"/>
      <c r="AK778" s="307"/>
      <c r="AL778" s="307"/>
      <c r="AM778" s="307"/>
      <c r="AN778" s="307"/>
      <c r="AO778" s="307"/>
      <c r="AP778" s="307"/>
      <c r="AQ778" s="307"/>
      <c r="AR778" s="307"/>
      <c r="AU778" s="306"/>
      <c r="AV778" s="306"/>
      <c r="AW778" s="306"/>
      <c r="AX778" s="307"/>
      <c r="AY778" s="307"/>
      <c r="AZ778" s="307"/>
      <c r="BA778" s="307"/>
      <c r="BB778" s="307"/>
      <c r="BC778" s="307"/>
      <c r="BD778" s="307"/>
      <c r="BE778" s="335"/>
      <c r="BG778" s="306"/>
      <c r="BH778" s="306"/>
      <c r="BI778" s="306"/>
      <c r="BJ778" s="307"/>
      <c r="BK778" s="307"/>
      <c r="BL778" s="307"/>
      <c r="BM778" s="307"/>
      <c r="BN778" s="307"/>
      <c r="BO778" s="307"/>
      <c r="BP778" s="307"/>
      <c r="BQ778" s="307"/>
    </row>
    <row r="779" spans="7:69" s="302" customFormat="1" ht="11.75" customHeight="1" x14ac:dyDescent="0.15">
      <c r="G779" s="300"/>
      <c r="H779" s="301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  <c r="Y779" s="301"/>
      <c r="Z779" s="301"/>
      <c r="AA779" s="301"/>
      <c r="AB779" s="301"/>
      <c r="AC779" s="301"/>
      <c r="AD779" s="301"/>
      <c r="AE779" s="301"/>
      <c r="AH779" s="306"/>
      <c r="AI779" s="306"/>
      <c r="AJ779" s="307"/>
      <c r="AK779" s="307"/>
      <c r="AL779" s="307"/>
      <c r="AM779" s="307"/>
      <c r="AN779" s="307"/>
      <c r="AO779" s="307"/>
      <c r="AP779" s="307"/>
      <c r="AQ779" s="307"/>
      <c r="AR779" s="307"/>
      <c r="AU779" s="306"/>
      <c r="AV779" s="306"/>
      <c r="AW779" s="307"/>
      <c r="AX779" s="307"/>
      <c r="AY779" s="307"/>
      <c r="AZ779" s="307"/>
      <c r="BA779" s="307"/>
      <c r="BB779" s="307"/>
      <c r="BC779" s="307"/>
      <c r="BD779" s="307"/>
      <c r="BE779" s="307"/>
      <c r="BG779" s="306"/>
      <c r="BH779" s="306"/>
      <c r="BI779" s="307"/>
      <c r="BJ779" s="307"/>
      <c r="BK779" s="307"/>
      <c r="BL779" s="307"/>
      <c r="BM779" s="307"/>
      <c r="BN779" s="307"/>
      <c r="BO779" s="307"/>
      <c r="BP779" s="307"/>
      <c r="BQ779" s="307"/>
    </row>
    <row r="780" spans="7:69" s="302" customFormat="1" ht="11.75" customHeight="1" x14ac:dyDescent="0.15">
      <c r="G780" s="300"/>
      <c r="H780" s="301"/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  <c r="Y780" s="301"/>
      <c r="Z780" s="301"/>
      <c r="AA780" s="301"/>
      <c r="AB780" s="301"/>
      <c r="AC780" s="301"/>
      <c r="AD780" s="301"/>
      <c r="AE780" s="301"/>
      <c r="AH780" s="327"/>
      <c r="AI780" s="306"/>
      <c r="AJ780" s="307"/>
      <c r="AK780" s="307"/>
      <c r="AL780" s="307"/>
      <c r="AM780" s="307"/>
      <c r="AN780" s="307"/>
      <c r="AO780" s="307"/>
      <c r="AP780" s="307"/>
      <c r="AQ780" s="307"/>
      <c r="AR780" s="307"/>
      <c r="AU780" s="306"/>
      <c r="AV780" s="306"/>
      <c r="AW780" s="307"/>
      <c r="AX780" s="307"/>
      <c r="AY780" s="307"/>
      <c r="AZ780" s="307"/>
      <c r="BA780" s="307"/>
      <c r="BB780" s="307"/>
      <c r="BC780" s="307"/>
      <c r="BD780" s="307"/>
      <c r="BE780" s="307"/>
      <c r="BG780" s="306"/>
      <c r="BH780" s="306"/>
      <c r="BI780" s="307"/>
      <c r="BJ780" s="307"/>
      <c r="BK780" s="307"/>
      <c r="BL780" s="307"/>
      <c r="BM780" s="307"/>
      <c r="BN780" s="307"/>
      <c r="BO780" s="307"/>
      <c r="BP780" s="307"/>
      <c r="BQ780" s="307"/>
    </row>
    <row r="781" spans="7:69" s="302" customFormat="1" ht="11.75" customHeight="1" x14ac:dyDescent="0.15">
      <c r="G781" s="300"/>
      <c r="H781" s="301"/>
      <c r="I781" s="301"/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  <c r="Y781" s="301"/>
      <c r="Z781" s="301"/>
      <c r="AA781" s="301"/>
      <c r="AB781" s="301"/>
      <c r="AC781" s="301"/>
      <c r="AD781" s="301"/>
      <c r="AE781" s="301"/>
      <c r="AH781" s="306"/>
      <c r="AI781" s="306"/>
      <c r="AJ781" s="307"/>
      <c r="AK781" s="307"/>
      <c r="AL781" s="307"/>
      <c r="AM781" s="307"/>
      <c r="AN781" s="307"/>
      <c r="AO781" s="307"/>
      <c r="AP781" s="307"/>
      <c r="AQ781" s="307"/>
      <c r="AR781" s="307"/>
      <c r="AU781" s="306"/>
      <c r="AV781" s="306"/>
      <c r="AW781" s="307"/>
      <c r="AX781" s="307"/>
      <c r="AY781" s="307"/>
      <c r="AZ781" s="307"/>
      <c r="BA781" s="307"/>
      <c r="BB781" s="307"/>
      <c r="BC781" s="307"/>
      <c r="BD781" s="307"/>
      <c r="BE781" s="307"/>
      <c r="BG781" s="306"/>
      <c r="BH781" s="306"/>
      <c r="BI781" s="307"/>
      <c r="BJ781" s="307"/>
      <c r="BK781" s="307"/>
      <c r="BL781" s="307"/>
      <c r="BM781" s="307"/>
      <c r="BN781" s="307"/>
      <c r="BO781" s="307"/>
      <c r="BP781" s="307"/>
      <c r="BQ781" s="307"/>
    </row>
    <row r="782" spans="7:69" s="302" customFormat="1" ht="11.75" customHeight="1" x14ac:dyDescent="0.15">
      <c r="G782" s="300"/>
      <c r="H782" s="301"/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  <c r="Y782" s="301"/>
      <c r="Z782" s="301"/>
      <c r="AA782" s="301"/>
      <c r="AB782" s="301"/>
      <c r="AC782" s="301"/>
      <c r="AD782" s="301"/>
      <c r="AE782" s="301"/>
      <c r="AH782" s="306"/>
      <c r="AI782" s="306"/>
      <c r="AJ782" s="307"/>
      <c r="AK782" s="307"/>
      <c r="AL782" s="307"/>
      <c r="AM782" s="307"/>
      <c r="AN782" s="307"/>
      <c r="AO782" s="307"/>
      <c r="AP782" s="307"/>
      <c r="AQ782" s="307"/>
      <c r="AR782" s="307"/>
      <c r="AT782" s="334"/>
      <c r="AU782" s="306"/>
      <c r="AV782" s="306"/>
      <c r="AW782" s="307"/>
      <c r="AX782" s="307"/>
      <c r="AY782" s="307"/>
      <c r="AZ782" s="307"/>
      <c r="BA782" s="307"/>
      <c r="BB782" s="307"/>
      <c r="BC782" s="307"/>
      <c r="BD782" s="307"/>
      <c r="BE782" s="307"/>
      <c r="BG782" s="306"/>
      <c r="BH782" s="306"/>
      <c r="BI782" s="307"/>
      <c r="BJ782" s="307"/>
      <c r="BK782" s="307"/>
      <c r="BL782" s="307"/>
      <c r="BM782" s="307"/>
      <c r="BN782" s="307"/>
      <c r="BO782" s="307"/>
      <c r="BP782" s="307"/>
      <c r="BQ782" s="307"/>
    </row>
    <row r="783" spans="7:69" s="302" customFormat="1" ht="11.75" customHeight="1" x14ac:dyDescent="0.15">
      <c r="G783" s="300"/>
      <c r="H783" s="301"/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  <c r="Y783" s="301"/>
      <c r="Z783" s="301"/>
      <c r="AA783" s="301"/>
      <c r="AB783" s="301"/>
      <c r="AC783" s="301"/>
      <c r="AD783" s="301"/>
      <c r="AE783" s="301"/>
      <c r="AH783" s="306"/>
      <c r="AI783" s="306"/>
      <c r="AJ783" s="307"/>
      <c r="AK783" s="307"/>
      <c r="AL783" s="307"/>
      <c r="AM783" s="307"/>
      <c r="AN783" s="307"/>
      <c r="AO783" s="307"/>
      <c r="AP783" s="307"/>
      <c r="AQ783" s="307"/>
      <c r="AR783" s="307"/>
      <c r="AT783" s="307"/>
      <c r="AU783" s="306"/>
      <c r="AV783" s="306"/>
      <c r="AW783" s="307"/>
      <c r="AX783" s="307"/>
      <c r="AY783" s="307"/>
      <c r="AZ783" s="307"/>
      <c r="BA783" s="307"/>
      <c r="BB783" s="307"/>
      <c r="BC783" s="307"/>
      <c r="BD783" s="307"/>
      <c r="BE783" s="307"/>
    </row>
    <row r="784" spans="7:69" s="302" customFormat="1" ht="11.75" customHeight="1" x14ac:dyDescent="0.15">
      <c r="G784" s="300"/>
      <c r="H784" s="301"/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  <c r="Y784" s="301"/>
      <c r="Z784" s="301"/>
      <c r="AA784" s="301"/>
      <c r="AB784" s="301"/>
      <c r="AC784" s="301"/>
      <c r="AD784" s="301"/>
      <c r="AE784" s="301"/>
      <c r="AH784" s="306"/>
      <c r="AI784" s="306"/>
      <c r="AJ784" s="307"/>
      <c r="AK784" s="307"/>
      <c r="AL784" s="307"/>
      <c r="AM784" s="307"/>
      <c r="AN784" s="307"/>
      <c r="AO784" s="307"/>
      <c r="AP784" s="307"/>
      <c r="AQ784" s="307"/>
      <c r="AR784" s="307"/>
      <c r="AT784" s="307"/>
      <c r="AU784" s="306"/>
      <c r="AV784" s="306"/>
      <c r="AW784" s="307"/>
      <c r="AX784" s="307"/>
      <c r="AY784" s="307"/>
      <c r="AZ784" s="307"/>
      <c r="BA784" s="307"/>
      <c r="BB784" s="307"/>
      <c r="BC784" s="307"/>
      <c r="BD784" s="307"/>
      <c r="BE784" s="307"/>
    </row>
    <row r="785" spans="7:57" s="302" customFormat="1" ht="11.75" customHeight="1" x14ac:dyDescent="0.15">
      <c r="G785" s="300"/>
      <c r="H785" s="301"/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  <c r="Y785" s="301"/>
      <c r="Z785" s="301"/>
      <c r="AA785" s="301"/>
      <c r="AB785" s="301"/>
      <c r="AC785" s="301"/>
      <c r="AD785" s="301"/>
      <c r="AE785" s="301"/>
      <c r="AH785" s="306"/>
      <c r="AI785" s="306"/>
      <c r="AJ785" s="307"/>
      <c r="AK785" s="307"/>
      <c r="AL785" s="307"/>
      <c r="AM785" s="307"/>
      <c r="AN785" s="307"/>
      <c r="AO785" s="307"/>
      <c r="AP785" s="307"/>
      <c r="AQ785" s="307"/>
      <c r="AR785" s="307"/>
      <c r="AT785" s="307"/>
      <c r="AU785" s="306"/>
      <c r="AV785" s="306"/>
      <c r="AW785" s="307"/>
      <c r="AX785" s="307"/>
      <c r="AY785" s="307"/>
      <c r="AZ785" s="307"/>
      <c r="BA785" s="307"/>
      <c r="BB785" s="307"/>
      <c r="BC785" s="307"/>
      <c r="BD785" s="307"/>
      <c r="BE785" s="307"/>
    </row>
    <row r="786" spans="7:57" s="302" customFormat="1" ht="11.75" customHeight="1" x14ac:dyDescent="0.15">
      <c r="G786" s="300"/>
      <c r="H786" s="301"/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  <c r="Y786" s="301"/>
      <c r="Z786" s="301"/>
      <c r="AA786" s="301"/>
      <c r="AB786" s="301"/>
      <c r="AC786" s="301"/>
      <c r="AD786" s="301"/>
      <c r="AE786" s="301"/>
      <c r="AH786" s="327"/>
      <c r="AI786" s="306"/>
      <c r="AJ786" s="307"/>
      <c r="AK786" s="307"/>
      <c r="AL786" s="307"/>
      <c r="AM786" s="307"/>
      <c r="AN786" s="307"/>
      <c r="AO786" s="307"/>
      <c r="AP786" s="307"/>
      <c r="AQ786" s="307"/>
      <c r="AR786" s="307"/>
      <c r="AT786" s="307"/>
      <c r="AU786" s="306"/>
      <c r="AV786" s="306"/>
      <c r="AW786" s="307"/>
      <c r="AX786" s="307"/>
      <c r="AY786" s="307"/>
      <c r="AZ786" s="307"/>
      <c r="BA786" s="307"/>
      <c r="BB786" s="307"/>
      <c r="BC786" s="307"/>
      <c r="BD786" s="307"/>
      <c r="BE786" s="307"/>
    </row>
    <row r="787" spans="7:57" s="302" customFormat="1" ht="11.75" customHeight="1" x14ac:dyDescent="0.15">
      <c r="G787" s="300"/>
      <c r="H787" s="301"/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  <c r="Y787" s="301"/>
      <c r="Z787" s="301"/>
      <c r="AA787" s="301"/>
      <c r="AB787" s="301"/>
      <c r="AC787" s="301"/>
      <c r="AD787" s="301"/>
      <c r="AE787" s="301"/>
      <c r="AH787" s="306"/>
      <c r="AI787" s="306"/>
      <c r="AJ787" s="307"/>
      <c r="AK787" s="307"/>
      <c r="AL787" s="307"/>
      <c r="AM787" s="307"/>
      <c r="AN787" s="307"/>
      <c r="AO787" s="307"/>
      <c r="AP787" s="307"/>
      <c r="AQ787" s="307"/>
      <c r="AR787" s="307"/>
      <c r="AT787" s="307"/>
      <c r="AU787" s="306"/>
      <c r="AV787" s="306"/>
      <c r="AW787" s="307"/>
      <c r="AX787" s="307"/>
      <c r="AY787" s="307"/>
      <c r="AZ787" s="307"/>
      <c r="BA787" s="307"/>
      <c r="BB787" s="307"/>
      <c r="BC787" s="307"/>
      <c r="BD787" s="307"/>
      <c r="BE787" s="307"/>
    </row>
    <row r="788" spans="7:57" s="302" customFormat="1" ht="11.75" customHeight="1" x14ac:dyDescent="0.15">
      <c r="G788" s="300"/>
      <c r="H788" s="301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  <c r="Y788" s="301"/>
      <c r="Z788" s="301"/>
      <c r="AA788" s="301"/>
      <c r="AB788" s="301"/>
      <c r="AC788" s="301"/>
      <c r="AD788" s="301"/>
      <c r="AE788" s="301"/>
      <c r="AH788" s="306"/>
      <c r="AI788" s="306"/>
      <c r="AJ788" s="307"/>
      <c r="AK788" s="307"/>
      <c r="AL788" s="307"/>
      <c r="AM788" s="307"/>
      <c r="AN788" s="307"/>
      <c r="AO788" s="307"/>
      <c r="AP788" s="307"/>
      <c r="AQ788" s="307"/>
      <c r="AR788" s="307"/>
      <c r="AT788" s="307"/>
      <c r="AU788" s="306"/>
      <c r="AV788" s="306"/>
      <c r="AW788" s="307"/>
      <c r="AX788" s="307"/>
      <c r="AY788" s="307"/>
      <c r="AZ788" s="307"/>
      <c r="BA788" s="307"/>
      <c r="BB788" s="307"/>
      <c r="BC788" s="307"/>
      <c r="BD788" s="307"/>
      <c r="BE788" s="307"/>
    </row>
    <row r="789" spans="7:57" s="302" customFormat="1" ht="11.75" customHeight="1" x14ac:dyDescent="0.15">
      <c r="G789" s="300"/>
      <c r="H789" s="301"/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  <c r="Y789" s="301"/>
      <c r="Z789" s="301"/>
      <c r="AA789" s="301"/>
      <c r="AB789" s="301"/>
      <c r="AC789" s="301"/>
      <c r="AD789" s="301"/>
      <c r="AE789" s="301"/>
      <c r="AH789" s="306"/>
      <c r="AI789" s="306"/>
      <c r="AJ789" s="307"/>
      <c r="AK789" s="307"/>
      <c r="AL789" s="307"/>
      <c r="AM789" s="307"/>
      <c r="AN789" s="307"/>
      <c r="AO789" s="307"/>
      <c r="AP789" s="307"/>
      <c r="AQ789" s="307"/>
      <c r="AR789" s="307"/>
      <c r="AT789" s="334"/>
      <c r="AU789" s="306"/>
      <c r="AV789" s="306"/>
      <c r="AW789" s="307"/>
      <c r="AX789" s="307"/>
      <c r="AY789" s="307"/>
      <c r="AZ789" s="307"/>
      <c r="BA789" s="307"/>
      <c r="BB789" s="307"/>
      <c r="BC789" s="307"/>
      <c r="BD789" s="307"/>
      <c r="BE789" s="307"/>
    </row>
    <row r="790" spans="7:57" s="302" customFormat="1" ht="11.75" customHeight="1" x14ac:dyDescent="0.15">
      <c r="G790" s="300"/>
      <c r="H790" s="301"/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  <c r="Y790" s="301"/>
      <c r="Z790" s="301"/>
      <c r="AA790" s="301"/>
      <c r="AB790" s="301"/>
      <c r="AC790" s="301"/>
      <c r="AD790" s="301"/>
      <c r="AE790" s="301"/>
      <c r="AH790" s="306"/>
      <c r="AI790" s="306"/>
      <c r="AJ790" s="307"/>
      <c r="AK790" s="307"/>
      <c r="AL790" s="307"/>
      <c r="AM790" s="307"/>
      <c r="AN790" s="307"/>
      <c r="AO790" s="307"/>
      <c r="AP790" s="307"/>
      <c r="AQ790" s="307"/>
      <c r="AR790" s="307"/>
      <c r="AT790" s="332"/>
      <c r="AU790" s="306"/>
      <c r="AV790" s="306"/>
      <c r="AW790" s="307"/>
      <c r="AX790" s="307"/>
      <c r="AY790" s="307"/>
      <c r="AZ790" s="307"/>
      <c r="BA790" s="307"/>
      <c r="BB790" s="307"/>
      <c r="BC790" s="307"/>
      <c r="BD790" s="307"/>
      <c r="BE790" s="307"/>
    </row>
    <row r="791" spans="7:57" s="302" customFormat="1" ht="11.75" customHeight="1" x14ac:dyDescent="0.15">
      <c r="G791" s="300"/>
      <c r="H791" s="301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  <c r="Y791" s="301"/>
      <c r="Z791" s="301"/>
      <c r="AA791" s="301"/>
      <c r="AB791" s="301"/>
      <c r="AC791" s="301"/>
      <c r="AD791" s="301"/>
      <c r="AE791" s="301"/>
      <c r="AH791" s="306"/>
      <c r="AI791" s="306"/>
      <c r="AJ791" s="307"/>
      <c r="AK791" s="307"/>
      <c r="AL791" s="307"/>
      <c r="AM791" s="307"/>
      <c r="AN791" s="307"/>
      <c r="AO791" s="307"/>
      <c r="AP791" s="307"/>
      <c r="AQ791" s="307"/>
      <c r="AR791" s="307"/>
      <c r="AT791" s="332"/>
      <c r="AU791" s="306"/>
      <c r="AV791" s="306"/>
      <c r="AW791" s="307"/>
      <c r="AX791" s="307"/>
      <c r="AY791" s="307"/>
      <c r="AZ791" s="307"/>
      <c r="BA791" s="307"/>
      <c r="BB791" s="307"/>
      <c r="BC791" s="307"/>
      <c r="BD791" s="307"/>
      <c r="BE791" s="307"/>
    </row>
    <row r="792" spans="7:57" s="302" customFormat="1" ht="11.75" customHeight="1" x14ac:dyDescent="0.15">
      <c r="G792" s="300"/>
      <c r="H792" s="301"/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  <c r="Y792" s="301"/>
      <c r="Z792" s="301"/>
      <c r="AA792" s="301"/>
      <c r="AB792" s="301"/>
      <c r="AC792" s="301"/>
      <c r="AD792" s="301"/>
      <c r="AE792" s="301"/>
      <c r="AH792" s="327"/>
      <c r="AI792" s="306"/>
      <c r="AJ792" s="307"/>
      <c r="AK792" s="307"/>
      <c r="AL792" s="307"/>
      <c r="AM792" s="307"/>
      <c r="AN792" s="307"/>
      <c r="AO792" s="307"/>
      <c r="AP792" s="307"/>
      <c r="AQ792" s="307"/>
      <c r="AR792" s="307"/>
      <c r="AT792" s="332"/>
      <c r="AU792" s="306"/>
      <c r="AV792" s="306"/>
      <c r="AW792" s="307"/>
      <c r="AX792" s="307"/>
      <c r="AY792" s="307"/>
      <c r="AZ792" s="307"/>
      <c r="BA792" s="307"/>
      <c r="BB792" s="307"/>
      <c r="BC792" s="307"/>
      <c r="BD792" s="307"/>
      <c r="BE792" s="307"/>
    </row>
    <row r="793" spans="7:57" s="302" customFormat="1" ht="11.75" customHeight="1" x14ac:dyDescent="0.15">
      <c r="G793" s="300"/>
      <c r="H793" s="301"/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  <c r="Y793" s="301"/>
      <c r="Z793" s="301"/>
      <c r="AA793" s="301"/>
      <c r="AB793" s="301"/>
      <c r="AC793" s="301"/>
      <c r="AD793" s="301"/>
      <c r="AE793" s="301"/>
      <c r="AH793" s="306"/>
      <c r="AI793" s="306"/>
      <c r="AJ793" s="307"/>
      <c r="AK793" s="307"/>
      <c r="AL793" s="307"/>
      <c r="AM793" s="307"/>
      <c r="AN793" s="307"/>
      <c r="AO793" s="307"/>
      <c r="AP793" s="307"/>
      <c r="AQ793" s="307"/>
      <c r="AR793" s="307"/>
      <c r="AT793" s="332"/>
      <c r="AU793" s="306"/>
      <c r="AV793" s="306"/>
      <c r="AW793" s="307"/>
      <c r="AX793" s="307"/>
      <c r="AY793" s="307"/>
      <c r="AZ793" s="307"/>
      <c r="BA793" s="307"/>
      <c r="BB793" s="307"/>
      <c r="BC793" s="307"/>
      <c r="BD793" s="307"/>
      <c r="BE793" s="307"/>
    </row>
    <row r="794" spans="7:57" s="302" customFormat="1" ht="11.75" customHeight="1" x14ac:dyDescent="0.15">
      <c r="G794" s="300"/>
      <c r="H794" s="301"/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  <c r="Y794" s="301"/>
      <c r="Z794" s="301"/>
      <c r="AA794" s="301"/>
      <c r="AB794" s="301"/>
      <c r="AC794" s="301"/>
      <c r="AD794" s="301"/>
      <c r="AE794" s="301"/>
      <c r="AH794" s="306"/>
      <c r="AI794" s="306"/>
      <c r="AJ794" s="307"/>
      <c r="AK794" s="307"/>
      <c r="AL794" s="307"/>
      <c r="AM794" s="307"/>
      <c r="AN794" s="307"/>
      <c r="AO794" s="307"/>
      <c r="AP794" s="307"/>
      <c r="AQ794" s="307"/>
      <c r="AR794" s="307"/>
      <c r="AT794" s="332"/>
      <c r="AU794" s="306"/>
      <c r="AV794" s="306"/>
      <c r="AW794" s="307"/>
      <c r="AX794" s="307"/>
      <c r="AY794" s="307"/>
      <c r="AZ794" s="307"/>
      <c r="BA794" s="307"/>
      <c r="BB794" s="307"/>
      <c r="BC794" s="307"/>
      <c r="BD794" s="307"/>
      <c r="BE794" s="307"/>
    </row>
    <row r="795" spans="7:57" s="302" customFormat="1" ht="11.75" customHeight="1" x14ac:dyDescent="0.15">
      <c r="G795" s="300"/>
      <c r="H795" s="301"/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  <c r="Y795" s="301"/>
      <c r="Z795" s="301"/>
      <c r="AA795" s="301"/>
      <c r="AB795" s="301"/>
      <c r="AC795" s="301"/>
      <c r="AD795" s="301"/>
      <c r="AE795" s="301"/>
      <c r="AH795" s="306"/>
      <c r="AI795" s="306"/>
      <c r="AJ795" s="307"/>
      <c r="AK795" s="307"/>
      <c r="AL795" s="307"/>
      <c r="AM795" s="307"/>
      <c r="AN795" s="307"/>
      <c r="AO795" s="307"/>
      <c r="AP795" s="307"/>
      <c r="AQ795" s="307"/>
      <c r="AR795" s="307"/>
      <c r="AT795" s="332"/>
      <c r="AU795" s="306"/>
      <c r="AV795" s="306"/>
      <c r="AW795" s="307"/>
      <c r="AX795" s="307"/>
      <c r="AY795" s="307"/>
      <c r="AZ795" s="307"/>
      <c r="BA795" s="307"/>
      <c r="BB795" s="307"/>
      <c r="BC795" s="307"/>
      <c r="BD795" s="307"/>
      <c r="BE795" s="307"/>
    </row>
    <row r="796" spans="7:57" s="302" customFormat="1" ht="11.75" customHeight="1" x14ac:dyDescent="0.15">
      <c r="G796" s="300"/>
      <c r="H796" s="301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  <c r="Y796" s="301"/>
      <c r="Z796" s="301"/>
      <c r="AA796" s="301"/>
      <c r="AB796" s="301"/>
      <c r="AC796" s="301"/>
      <c r="AD796" s="301"/>
      <c r="AE796" s="301"/>
      <c r="AH796" s="306"/>
      <c r="AI796" s="306"/>
      <c r="AJ796" s="307"/>
      <c r="AK796" s="307"/>
      <c r="AL796" s="307"/>
      <c r="AM796" s="307"/>
      <c r="AN796" s="307"/>
      <c r="AO796" s="307"/>
      <c r="AP796" s="307"/>
      <c r="AQ796" s="307"/>
      <c r="AR796" s="307"/>
      <c r="AU796" s="306"/>
      <c r="AV796" s="306"/>
      <c r="AW796" s="307"/>
      <c r="AX796" s="306"/>
      <c r="AY796" s="306"/>
      <c r="AZ796" s="306"/>
      <c r="BA796" s="306"/>
      <c r="BB796" s="306"/>
      <c r="BC796" s="306"/>
      <c r="BD796" s="306"/>
    </row>
    <row r="797" spans="7:57" s="302" customFormat="1" ht="11.75" customHeight="1" x14ac:dyDescent="0.15">
      <c r="G797" s="300"/>
      <c r="H797" s="301"/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  <c r="Y797" s="301"/>
      <c r="Z797" s="301"/>
      <c r="AA797" s="301"/>
      <c r="AB797" s="301"/>
      <c r="AC797" s="301"/>
      <c r="AD797" s="301"/>
      <c r="AE797" s="301"/>
      <c r="AH797" s="306"/>
      <c r="AI797" s="306"/>
      <c r="AJ797" s="307"/>
      <c r="AK797" s="307"/>
      <c r="AL797" s="307"/>
      <c r="AM797" s="307"/>
      <c r="AN797" s="307"/>
      <c r="AO797" s="307"/>
      <c r="AP797" s="307"/>
      <c r="AQ797" s="307"/>
      <c r="AR797" s="307"/>
      <c r="AU797" s="306"/>
      <c r="AV797" s="306"/>
      <c r="AW797" s="307"/>
      <c r="AX797" s="306"/>
      <c r="AY797" s="306"/>
      <c r="AZ797" s="306"/>
      <c r="BA797" s="306"/>
      <c r="BB797" s="306"/>
      <c r="BC797" s="306"/>
      <c r="BD797" s="306"/>
    </row>
    <row r="798" spans="7:57" s="302" customFormat="1" ht="11.75" customHeight="1" x14ac:dyDescent="0.15">
      <c r="G798" s="300"/>
      <c r="H798" s="301"/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  <c r="Y798" s="301"/>
      <c r="Z798" s="301"/>
      <c r="AA798" s="301"/>
      <c r="AB798" s="301"/>
      <c r="AC798" s="301"/>
      <c r="AD798" s="301"/>
      <c r="AE798" s="301"/>
      <c r="AH798" s="327"/>
      <c r="AI798" s="306"/>
      <c r="AJ798" s="307"/>
      <c r="AK798" s="307"/>
      <c r="AL798" s="307"/>
      <c r="AM798" s="307"/>
      <c r="AN798" s="307"/>
      <c r="AO798" s="307"/>
      <c r="AP798" s="307"/>
      <c r="AQ798" s="307"/>
      <c r="AR798" s="307"/>
      <c r="AU798" s="306"/>
      <c r="AV798" s="306"/>
      <c r="AW798" s="307"/>
      <c r="AX798" s="306"/>
      <c r="AY798" s="306"/>
      <c r="AZ798" s="306"/>
      <c r="BA798" s="306"/>
      <c r="BB798" s="306"/>
      <c r="BC798" s="306"/>
      <c r="BD798" s="306"/>
    </row>
    <row r="799" spans="7:57" s="302" customFormat="1" ht="11.75" customHeight="1" x14ac:dyDescent="0.15">
      <c r="G799" s="300"/>
      <c r="H799" s="301"/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  <c r="Y799" s="301"/>
      <c r="Z799" s="301"/>
      <c r="AA799" s="301"/>
      <c r="AB799" s="301"/>
      <c r="AC799" s="301"/>
      <c r="AD799" s="301"/>
      <c r="AE799" s="301"/>
      <c r="AH799" s="306"/>
      <c r="AI799" s="306"/>
      <c r="AJ799" s="307"/>
      <c r="AK799" s="307"/>
      <c r="AL799" s="307"/>
      <c r="AM799" s="307"/>
      <c r="AN799" s="307"/>
      <c r="AO799" s="307"/>
      <c r="AP799" s="307"/>
      <c r="AQ799" s="307"/>
      <c r="AR799" s="307"/>
      <c r="AU799" s="306"/>
      <c r="AV799" s="306"/>
      <c r="AW799" s="307"/>
      <c r="AX799" s="306"/>
      <c r="AY799" s="306"/>
      <c r="AZ799" s="306"/>
      <c r="BA799" s="306"/>
      <c r="BB799" s="306"/>
      <c r="BC799" s="306"/>
      <c r="BD799" s="306"/>
    </row>
    <row r="800" spans="7:57" s="302" customFormat="1" ht="11.75" customHeight="1" x14ac:dyDescent="0.15">
      <c r="G800" s="300"/>
      <c r="H800" s="301"/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  <c r="Y800" s="301"/>
      <c r="Z800" s="301"/>
      <c r="AA800" s="301"/>
      <c r="AB800" s="301"/>
      <c r="AC800" s="301"/>
      <c r="AD800" s="301"/>
      <c r="AE800" s="301"/>
      <c r="AH800" s="306"/>
      <c r="AI800" s="306"/>
      <c r="AJ800" s="307"/>
      <c r="AK800" s="307"/>
      <c r="AL800" s="307"/>
      <c r="AM800" s="307"/>
      <c r="AN800" s="307"/>
      <c r="AO800" s="307"/>
      <c r="AP800" s="307"/>
      <c r="AQ800" s="307"/>
      <c r="AR800" s="307"/>
      <c r="AU800" s="306"/>
      <c r="AV800" s="306"/>
      <c r="AW800" s="307"/>
      <c r="AX800" s="306"/>
      <c r="AY800" s="306"/>
      <c r="AZ800" s="306"/>
      <c r="BA800" s="306"/>
      <c r="BB800" s="306"/>
      <c r="BC800" s="306"/>
      <c r="BD800" s="306"/>
    </row>
    <row r="801" spans="7:56" s="302" customFormat="1" ht="11.75" customHeight="1" x14ac:dyDescent="0.15">
      <c r="G801" s="300"/>
      <c r="H801" s="301"/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  <c r="Y801" s="301"/>
      <c r="Z801" s="301"/>
      <c r="AA801" s="301"/>
      <c r="AB801" s="301"/>
      <c r="AC801" s="301"/>
      <c r="AD801" s="301"/>
      <c r="AE801" s="301"/>
      <c r="AH801" s="306"/>
      <c r="AI801" s="306"/>
      <c r="AJ801" s="307"/>
      <c r="AK801" s="307"/>
      <c r="AL801" s="307"/>
      <c r="AM801" s="307"/>
      <c r="AN801" s="307"/>
      <c r="AO801" s="307"/>
      <c r="AP801" s="307"/>
      <c r="AQ801" s="307"/>
      <c r="AR801" s="307"/>
      <c r="AU801" s="306"/>
      <c r="AV801" s="306"/>
      <c r="AW801" s="307"/>
      <c r="AX801" s="306"/>
      <c r="AY801" s="306"/>
      <c r="AZ801" s="306"/>
      <c r="BA801" s="306"/>
      <c r="BB801" s="306"/>
      <c r="BC801" s="306"/>
      <c r="BD801" s="306"/>
    </row>
    <row r="802" spans="7:56" s="302" customFormat="1" ht="11.75" customHeight="1" x14ac:dyDescent="0.15">
      <c r="G802" s="300"/>
      <c r="H802" s="301"/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  <c r="Y802" s="301"/>
      <c r="Z802" s="301"/>
      <c r="AA802" s="301"/>
      <c r="AB802" s="301"/>
      <c r="AC802" s="301"/>
      <c r="AD802" s="301"/>
      <c r="AE802" s="301"/>
      <c r="AH802" s="306"/>
      <c r="AI802" s="306"/>
      <c r="AJ802" s="307"/>
      <c r="AK802" s="307"/>
      <c r="AL802" s="307"/>
      <c r="AM802" s="307"/>
      <c r="AN802" s="307"/>
      <c r="AO802" s="307"/>
      <c r="AP802" s="307"/>
      <c r="AQ802" s="307"/>
      <c r="AR802" s="307"/>
      <c r="AU802" s="306"/>
      <c r="AV802" s="306"/>
      <c r="AW802" s="307"/>
      <c r="AX802" s="306"/>
      <c r="AY802" s="306"/>
      <c r="AZ802" s="306"/>
      <c r="BA802" s="306"/>
      <c r="BB802" s="306"/>
      <c r="BC802" s="306"/>
      <c r="BD802" s="306"/>
    </row>
    <row r="803" spans="7:56" s="302" customFormat="1" ht="11.75" customHeight="1" x14ac:dyDescent="0.15">
      <c r="G803" s="300"/>
      <c r="H803" s="301"/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  <c r="Y803" s="301"/>
      <c r="Z803" s="301"/>
      <c r="AA803" s="301"/>
      <c r="AB803" s="301"/>
      <c r="AC803" s="301"/>
      <c r="AD803" s="301"/>
      <c r="AE803" s="301"/>
      <c r="AH803" s="306"/>
      <c r="AI803" s="306"/>
      <c r="AJ803" s="307"/>
      <c r="AK803" s="307"/>
      <c r="AL803" s="307"/>
      <c r="AM803" s="307"/>
      <c r="AN803" s="307"/>
      <c r="AO803" s="307"/>
      <c r="AP803" s="307"/>
      <c r="AQ803" s="307"/>
      <c r="AR803" s="307"/>
      <c r="AU803" s="306"/>
      <c r="AV803" s="306"/>
      <c r="AW803" s="307"/>
      <c r="AX803" s="306"/>
      <c r="AY803" s="306"/>
      <c r="AZ803" s="306"/>
      <c r="BA803" s="306"/>
      <c r="BB803" s="306"/>
      <c r="BC803" s="306"/>
      <c r="BD803" s="306"/>
    </row>
    <row r="804" spans="7:56" s="302" customFormat="1" ht="11.75" customHeight="1" x14ac:dyDescent="0.15">
      <c r="G804" s="300"/>
      <c r="H804" s="301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  <c r="Y804" s="301"/>
      <c r="Z804" s="301"/>
      <c r="AA804" s="301"/>
      <c r="AB804" s="301"/>
      <c r="AC804" s="301"/>
      <c r="AD804" s="301"/>
      <c r="AE804" s="301"/>
      <c r="AH804" s="327"/>
      <c r="AI804" s="306"/>
      <c r="AJ804" s="307"/>
      <c r="AK804" s="307"/>
      <c r="AL804" s="307"/>
      <c r="AM804" s="307"/>
      <c r="AN804" s="307"/>
      <c r="AO804" s="307"/>
      <c r="AP804" s="307"/>
      <c r="AQ804" s="307"/>
      <c r="AR804" s="307"/>
      <c r="AU804" s="306"/>
      <c r="AV804" s="306"/>
      <c r="AW804" s="307"/>
      <c r="AX804" s="306"/>
      <c r="AY804" s="306"/>
      <c r="AZ804" s="306"/>
      <c r="BA804" s="306"/>
      <c r="BB804" s="306"/>
      <c r="BC804" s="306"/>
      <c r="BD804" s="306"/>
    </row>
    <row r="805" spans="7:56" s="302" customFormat="1" ht="11.75" customHeight="1" x14ac:dyDescent="0.15">
      <c r="G805" s="300"/>
      <c r="H805" s="301"/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  <c r="Y805" s="301"/>
      <c r="Z805" s="301"/>
      <c r="AA805" s="301"/>
      <c r="AB805" s="301"/>
      <c r="AC805" s="301"/>
      <c r="AD805" s="301"/>
      <c r="AE805" s="301"/>
      <c r="AH805" s="306"/>
      <c r="AI805" s="306"/>
      <c r="AJ805" s="307"/>
      <c r="AK805" s="307"/>
      <c r="AL805" s="307"/>
      <c r="AM805" s="307"/>
      <c r="AN805" s="307"/>
      <c r="AO805" s="307"/>
      <c r="AP805" s="307"/>
      <c r="AQ805" s="307"/>
      <c r="AR805" s="307"/>
      <c r="AU805" s="306"/>
      <c r="AV805" s="306"/>
      <c r="AW805" s="307"/>
      <c r="AX805" s="306"/>
      <c r="AY805" s="306"/>
      <c r="AZ805" s="306"/>
      <c r="BA805" s="306"/>
      <c r="BB805" s="306"/>
      <c r="BC805" s="306"/>
      <c r="BD805" s="306"/>
    </row>
    <row r="806" spans="7:56" s="302" customFormat="1" ht="11.75" customHeight="1" x14ac:dyDescent="0.15">
      <c r="G806" s="300"/>
      <c r="H806" s="301"/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  <c r="Y806" s="301"/>
      <c r="Z806" s="301"/>
      <c r="AA806" s="301"/>
      <c r="AB806" s="301"/>
      <c r="AC806" s="301"/>
      <c r="AD806" s="301"/>
      <c r="AE806" s="301"/>
      <c r="AH806" s="306"/>
      <c r="AI806" s="306"/>
      <c r="AJ806" s="307"/>
      <c r="AK806" s="307"/>
      <c r="AL806" s="307"/>
      <c r="AM806" s="307"/>
      <c r="AN806" s="307"/>
      <c r="AO806" s="307"/>
      <c r="AP806" s="307"/>
      <c r="AQ806" s="307"/>
      <c r="AR806" s="307"/>
      <c r="AU806" s="306"/>
      <c r="AV806" s="306"/>
      <c r="AW806" s="307"/>
      <c r="AX806" s="306"/>
      <c r="AY806" s="306"/>
      <c r="AZ806" s="306"/>
      <c r="BA806" s="306"/>
      <c r="BB806" s="306"/>
      <c r="BC806" s="306"/>
      <c r="BD806" s="306"/>
    </row>
    <row r="807" spans="7:56" s="302" customFormat="1" ht="11.75" customHeight="1" x14ac:dyDescent="0.15">
      <c r="G807" s="300"/>
      <c r="H807" s="301"/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  <c r="Y807" s="301"/>
      <c r="Z807" s="301"/>
      <c r="AA807" s="301"/>
      <c r="AB807" s="301"/>
      <c r="AC807" s="301"/>
      <c r="AD807" s="301"/>
      <c r="AE807" s="301"/>
      <c r="AH807" s="306"/>
      <c r="AI807" s="306"/>
      <c r="AJ807" s="307"/>
      <c r="AK807" s="307"/>
      <c r="AL807" s="307"/>
      <c r="AM807" s="307"/>
      <c r="AN807" s="307"/>
      <c r="AO807" s="307"/>
      <c r="AP807" s="307"/>
      <c r="AQ807" s="307"/>
      <c r="AR807" s="307"/>
      <c r="AU807" s="306"/>
      <c r="AV807" s="306"/>
      <c r="AW807" s="307"/>
      <c r="AX807" s="306"/>
      <c r="AY807" s="306"/>
      <c r="AZ807" s="306"/>
      <c r="BA807" s="306"/>
      <c r="BB807" s="306"/>
      <c r="BC807" s="306"/>
      <c r="BD807" s="306"/>
    </row>
    <row r="808" spans="7:56" s="302" customFormat="1" ht="11.75" customHeight="1" x14ac:dyDescent="0.15">
      <c r="G808" s="300"/>
      <c r="H808" s="301"/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  <c r="Y808" s="301"/>
      <c r="Z808" s="301"/>
      <c r="AA808" s="301"/>
      <c r="AB808" s="301"/>
      <c r="AC808" s="301"/>
      <c r="AD808" s="301"/>
      <c r="AE808" s="301"/>
      <c r="AH808" s="306"/>
      <c r="AI808" s="306"/>
      <c r="AJ808" s="307"/>
      <c r="AK808" s="307"/>
      <c r="AL808" s="307"/>
      <c r="AM808" s="307"/>
      <c r="AN808" s="307"/>
      <c r="AO808" s="307"/>
      <c r="AP808" s="307"/>
      <c r="AQ808" s="307"/>
      <c r="AR808" s="307"/>
      <c r="AU808" s="306"/>
      <c r="AV808" s="306"/>
      <c r="AW808" s="307"/>
      <c r="AX808" s="306"/>
      <c r="AY808" s="306"/>
      <c r="AZ808" s="306"/>
      <c r="BA808" s="306"/>
      <c r="BB808" s="306"/>
      <c r="BC808" s="306"/>
      <c r="BD808" s="306"/>
    </row>
    <row r="809" spans="7:56" s="302" customFormat="1" ht="11.75" customHeight="1" x14ac:dyDescent="0.15">
      <c r="G809" s="300"/>
      <c r="H809" s="301"/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  <c r="Y809" s="301"/>
      <c r="Z809" s="301"/>
      <c r="AA809" s="301"/>
      <c r="AB809" s="301"/>
      <c r="AC809" s="301"/>
      <c r="AD809" s="301"/>
      <c r="AE809" s="301"/>
      <c r="AH809" s="306"/>
      <c r="AI809" s="306"/>
      <c r="AJ809" s="307"/>
      <c r="AK809" s="307"/>
      <c r="AL809" s="307"/>
      <c r="AM809" s="307"/>
      <c r="AN809" s="307"/>
      <c r="AO809" s="307"/>
      <c r="AP809" s="307"/>
      <c r="AQ809" s="307"/>
      <c r="AR809" s="307"/>
      <c r="AU809" s="306"/>
      <c r="AV809" s="306"/>
      <c r="AW809" s="307"/>
      <c r="AX809" s="306"/>
      <c r="AY809" s="306"/>
      <c r="AZ809" s="306"/>
      <c r="BA809" s="306"/>
      <c r="BB809" s="306"/>
      <c r="BC809" s="306"/>
      <c r="BD809" s="306"/>
    </row>
    <row r="810" spans="7:56" s="302" customFormat="1" ht="11.75" customHeight="1" x14ac:dyDescent="0.15">
      <c r="G810" s="300"/>
      <c r="H810" s="301"/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  <c r="Y810" s="301"/>
      <c r="Z810" s="301"/>
      <c r="AA810" s="301"/>
      <c r="AB810" s="301"/>
      <c r="AC810" s="301"/>
      <c r="AD810" s="301"/>
      <c r="AE810" s="301"/>
      <c r="AH810" s="327"/>
      <c r="AI810" s="306"/>
      <c r="AJ810" s="307"/>
      <c r="AK810" s="307"/>
      <c r="AL810" s="307"/>
      <c r="AM810" s="307"/>
      <c r="AN810" s="307"/>
      <c r="AO810" s="307"/>
      <c r="AP810" s="307"/>
      <c r="AQ810" s="307"/>
      <c r="AR810" s="307"/>
      <c r="AU810" s="306"/>
      <c r="AV810" s="306"/>
      <c r="AW810" s="307"/>
      <c r="AX810" s="306"/>
      <c r="AY810" s="306"/>
      <c r="AZ810" s="306"/>
      <c r="BA810" s="306"/>
      <c r="BB810" s="306"/>
      <c r="BC810" s="306"/>
      <c r="BD810" s="306"/>
    </row>
    <row r="811" spans="7:56" s="302" customFormat="1" ht="11.75" customHeight="1" x14ac:dyDescent="0.15">
      <c r="G811" s="300"/>
      <c r="H811" s="301"/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  <c r="Y811" s="301"/>
      <c r="Z811" s="301"/>
      <c r="AA811" s="301"/>
      <c r="AB811" s="301"/>
      <c r="AC811" s="301"/>
      <c r="AD811" s="301"/>
      <c r="AE811" s="301"/>
      <c r="AH811" s="306"/>
      <c r="AI811" s="306"/>
      <c r="AJ811" s="307"/>
      <c r="AK811" s="307"/>
      <c r="AL811" s="307"/>
      <c r="AM811" s="307"/>
      <c r="AN811" s="307"/>
      <c r="AO811" s="307"/>
      <c r="AP811" s="307"/>
      <c r="AQ811" s="307"/>
      <c r="AR811" s="307"/>
      <c r="AU811" s="306"/>
      <c r="AV811" s="306"/>
      <c r="AW811" s="307"/>
      <c r="AX811" s="306"/>
      <c r="AY811" s="306"/>
      <c r="AZ811" s="306"/>
      <c r="BA811" s="306"/>
      <c r="BB811" s="306"/>
      <c r="BC811" s="306"/>
      <c r="BD811" s="306"/>
    </row>
    <row r="812" spans="7:56" s="302" customFormat="1" ht="11.75" customHeight="1" x14ac:dyDescent="0.15">
      <c r="G812" s="300"/>
      <c r="H812" s="301"/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  <c r="Y812" s="301"/>
      <c r="Z812" s="301"/>
      <c r="AA812" s="301"/>
      <c r="AB812" s="301"/>
      <c r="AC812" s="301"/>
      <c r="AD812" s="301"/>
      <c r="AE812" s="301"/>
      <c r="AH812" s="306"/>
      <c r="AI812" s="306"/>
      <c r="AJ812" s="307"/>
      <c r="AK812" s="307"/>
      <c r="AL812" s="307"/>
      <c r="AM812" s="307"/>
      <c r="AN812" s="307"/>
      <c r="AO812" s="307"/>
      <c r="AP812" s="307"/>
      <c r="AQ812" s="307"/>
      <c r="AR812" s="307"/>
      <c r="AU812" s="306"/>
      <c r="AV812" s="306"/>
      <c r="AW812" s="307"/>
      <c r="AX812" s="306"/>
      <c r="AY812" s="306"/>
      <c r="AZ812" s="306"/>
      <c r="BA812" s="306"/>
      <c r="BB812" s="306"/>
      <c r="BC812" s="306"/>
      <c r="BD812" s="306"/>
    </row>
    <row r="813" spans="7:56" s="302" customFormat="1" ht="11.75" customHeight="1" x14ac:dyDescent="0.15">
      <c r="G813" s="300"/>
      <c r="H813" s="301"/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  <c r="Y813" s="301"/>
      <c r="Z813" s="301"/>
      <c r="AA813" s="301"/>
      <c r="AB813" s="301"/>
      <c r="AC813" s="301"/>
      <c r="AD813" s="301"/>
      <c r="AE813" s="301"/>
      <c r="AH813" s="306"/>
      <c r="AI813" s="306"/>
      <c r="AJ813" s="307"/>
      <c r="AK813" s="307"/>
      <c r="AL813" s="307"/>
      <c r="AM813" s="307"/>
      <c r="AN813" s="307"/>
      <c r="AO813" s="307"/>
      <c r="AP813" s="307"/>
      <c r="AQ813" s="307"/>
      <c r="AR813" s="307"/>
      <c r="AU813" s="306"/>
      <c r="AV813" s="306"/>
      <c r="AW813" s="307"/>
      <c r="AX813" s="306"/>
      <c r="AY813" s="306"/>
      <c r="AZ813" s="306"/>
      <c r="BA813" s="306"/>
      <c r="BB813" s="306"/>
      <c r="BC813" s="306"/>
      <c r="BD813" s="306"/>
    </row>
    <row r="814" spans="7:56" s="302" customFormat="1" ht="11.75" customHeight="1" x14ac:dyDescent="0.15">
      <c r="G814" s="300"/>
      <c r="H814" s="301"/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  <c r="Y814" s="301"/>
      <c r="Z814" s="301"/>
      <c r="AA814" s="301"/>
      <c r="AB814" s="301"/>
      <c r="AC814" s="301"/>
      <c r="AD814" s="301"/>
      <c r="AE814" s="301"/>
      <c r="AH814" s="306"/>
      <c r="AI814" s="306"/>
      <c r="AJ814" s="307"/>
      <c r="AK814" s="307"/>
      <c r="AL814" s="307"/>
      <c r="AM814" s="307"/>
      <c r="AN814" s="307"/>
      <c r="AO814" s="307"/>
      <c r="AP814" s="307"/>
      <c r="AQ814" s="307"/>
      <c r="AR814" s="307"/>
      <c r="AU814" s="306"/>
      <c r="AV814" s="306"/>
      <c r="AW814" s="307"/>
      <c r="AX814" s="306"/>
      <c r="AY814" s="306"/>
      <c r="AZ814" s="306"/>
      <c r="BA814" s="306"/>
      <c r="BB814" s="306"/>
      <c r="BC814" s="306"/>
      <c r="BD814" s="306"/>
    </row>
    <row r="815" spans="7:56" s="302" customFormat="1" ht="11.75" customHeight="1" x14ac:dyDescent="0.15">
      <c r="G815" s="300"/>
      <c r="H815" s="301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  <c r="Y815" s="301"/>
      <c r="Z815" s="301"/>
      <c r="AA815" s="301"/>
      <c r="AB815" s="301"/>
      <c r="AC815" s="301"/>
      <c r="AD815" s="301"/>
      <c r="AE815" s="301"/>
      <c r="AH815" s="306"/>
      <c r="AI815" s="306"/>
      <c r="AJ815" s="307"/>
      <c r="AK815" s="307"/>
      <c r="AL815" s="307"/>
      <c r="AM815" s="307"/>
      <c r="AN815" s="307"/>
      <c r="AO815" s="307"/>
      <c r="AP815" s="307"/>
      <c r="AQ815" s="307"/>
      <c r="AR815" s="307"/>
      <c r="AU815" s="306"/>
      <c r="AV815" s="306"/>
      <c r="AW815" s="307"/>
      <c r="AX815" s="306"/>
      <c r="AY815" s="306"/>
      <c r="AZ815" s="306"/>
      <c r="BA815" s="306"/>
      <c r="BB815" s="306"/>
      <c r="BC815" s="306"/>
      <c r="BD815" s="306"/>
    </row>
    <row r="816" spans="7:56" s="302" customFormat="1" ht="11.75" customHeight="1" x14ac:dyDescent="0.15">
      <c r="G816" s="300"/>
      <c r="H816" s="301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  <c r="Y816" s="301"/>
      <c r="Z816" s="301"/>
      <c r="AA816" s="301"/>
      <c r="AB816" s="301"/>
      <c r="AC816" s="301"/>
      <c r="AD816" s="301"/>
      <c r="AE816" s="301"/>
      <c r="AH816" s="327"/>
      <c r="AI816" s="306"/>
      <c r="AJ816" s="307"/>
      <c r="AK816" s="307"/>
      <c r="AL816" s="307"/>
      <c r="AM816" s="307"/>
      <c r="AN816" s="307"/>
      <c r="AO816" s="307"/>
      <c r="AP816" s="307"/>
      <c r="AQ816" s="307"/>
      <c r="AR816" s="307"/>
      <c r="AU816" s="306"/>
      <c r="AV816" s="306"/>
      <c r="AW816" s="307"/>
      <c r="AX816" s="306"/>
      <c r="AY816" s="306"/>
      <c r="AZ816" s="306"/>
      <c r="BA816" s="306"/>
      <c r="BB816" s="306"/>
      <c r="BC816" s="306"/>
      <c r="BD816" s="306"/>
    </row>
    <row r="817" spans="7:56" s="302" customFormat="1" ht="11.75" customHeight="1" x14ac:dyDescent="0.15">
      <c r="G817" s="300"/>
      <c r="H817" s="301"/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  <c r="Y817" s="301"/>
      <c r="Z817" s="301"/>
      <c r="AA817" s="301"/>
      <c r="AB817" s="301"/>
      <c r="AC817" s="301"/>
      <c r="AD817" s="301"/>
      <c r="AE817" s="301"/>
      <c r="AH817" s="306"/>
      <c r="AI817" s="306"/>
      <c r="AJ817" s="307"/>
      <c r="AK817" s="307"/>
      <c r="AL817" s="307"/>
      <c r="AM817" s="307"/>
      <c r="AN817" s="307"/>
      <c r="AO817" s="307"/>
      <c r="AP817" s="307"/>
      <c r="AQ817" s="307"/>
      <c r="AR817" s="307"/>
      <c r="AU817" s="306"/>
      <c r="AV817" s="306"/>
      <c r="AW817" s="307"/>
      <c r="AX817" s="306"/>
      <c r="AY817" s="306"/>
      <c r="AZ817" s="306"/>
      <c r="BA817" s="306"/>
      <c r="BB817" s="306"/>
      <c r="BC817" s="306"/>
      <c r="BD817" s="306"/>
    </row>
    <row r="818" spans="7:56" s="302" customFormat="1" ht="11.75" customHeight="1" x14ac:dyDescent="0.15">
      <c r="G818" s="300"/>
      <c r="H818" s="301"/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  <c r="Y818" s="301"/>
      <c r="Z818" s="301"/>
      <c r="AA818" s="301"/>
      <c r="AB818" s="301"/>
      <c r="AC818" s="301"/>
      <c r="AD818" s="301"/>
      <c r="AE818" s="301"/>
      <c r="AH818" s="306"/>
      <c r="AI818" s="306"/>
      <c r="AJ818" s="307"/>
      <c r="AK818" s="307"/>
      <c r="AL818" s="307"/>
      <c r="AM818" s="307"/>
      <c r="AN818" s="307"/>
      <c r="AO818" s="307"/>
      <c r="AP818" s="307"/>
      <c r="AQ818" s="307"/>
      <c r="AR818" s="307"/>
      <c r="AU818" s="306"/>
      <c r="AV818" s="306"/>
      <c r="AW818" s="307"/>
      <c r="AX818" s="306"/>
      <c r="AY818" s="306"/>
      <c r="AZ818" s="306"/>
      <c r="BA818" s="306"/>
      <c r="BB818" s="306"/>
      <c r="BC818" s="306"/>
      <c r="BD818" s="306"/>
    </row>
    <row r="819" spans="7:56" s="302" customFormat="1" ht="11.75" customHeight="1" x14ac:dyDescent="0.15">
      <c r="G819" s="300"/>
      <c r="H819" s="301"/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  <c r="Y819" s="301"/>
      <c r="Z819" s="301"/>
      <c r="AA819" s="301"/>
      <c r="AB819" s="301"/>
      <c r="AC819" s="301"/>
      <c r="AD819" s="301"/>
      <c r="AE819" s="301"/>
      <c r="AH819" s="306"/>
      <c r="AI819" s="306"/>
      <c r="AJ819" s="307"/>
      <c r="AK819" s="307"/>
      <c r="AL819" s="307"/>
      <c r="AM819" s="307"/>
      <c r="AN819" s="307"/>
      <c r="AO819" s="307"/>
      <c r="AP819" s="307"/>
      <c r="AQ819" s="307"/>
      <c r="AR819" s="307"/>
      <c r="AU819" s="306"/>
      <c r="AV819" s="306"/>
      <c r="AW819" s="307"/>
      <c r="AX819" s="306"/>
      <c r="AY819" s="306"/>
      <c r="AZ819" s="306"/>
      <c r="BA819" s="306"/>
      <c r="BB819" s="306"/>
      <c r="BC819" s="306"/>
      <c r="BD819" s="306"/>
    </row>
    <row r="820" spans="7:56" s="302" customFormat="1" ht="11.75" customHeight="1" x14ac:dyDescent="0.15">
      <c r="G820" s="300"/>
      <c r="H820" s="301"/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  <c r="Y820" s="301"/>
      <c r="Z820" s="301"/>
      <c r="AA820" s="301"/>
      <c r="AB820" s="301"/>
      <c r="AC820" s="301"/>
      <c r="AD820" s="301"/>
      <c r="AE820" s="301"/>
      <c r="AH820" s="306"/>
      <c r="AI820" s="306"/>
      <c r="AJ820" s="307"/>
      <c r="AK820" s="307"/>
      <c r="AL820" s="307"/>
      <c r="AM820" s="307"/>
      <c r="AN820" s="307"/>
      <c r="AO820" s="307"/>
      <c r="AP820" s="307"/>
      <c r="AQ820" s="307"/>
      <c r="AR820" s="307"/>
      <c r="AU820" s="306"/>
      <c r="AV820" s="306"/>
      <c r="AW820" s="307"/>
      <c r="AX820" s="306"/>
      <c r="AY820" s="306"/>
      <c r="AZ820" s="306"/>
      <c r="BA820" s="306"/>
      <c r="BB820" s="306"/>
      <c r="BC820" s="306"/>
      <c r="BD820" s="306"/>
    </row>
    <row r="821" spans="7:56" s="302" customFormat="1" ht="11.75" customHeight="1" x14ac:dyDescent="0.15">
      <c r="G821" s="300"/>
      <c r="H821" s="301"/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  <c r="Y821" s="301"/>
      <c r="Z821" s="301"/>
      <c r="AA821" s="301"/>
      <c r="AB821" s="301"/>
      <c r="AC821" s="301"/>
      <c r="AD821" s="301"/>
      <c r="AE821" s="301"/>
      <c r="AH821" s="306"/>
      <c r="AI821" s="306"/>
      <c r="AJ821" s="307"/>
      <c r="AK821" s="307"/>
      <c r="AL821" s="307"/>
      <c r="AM821" s="307"/>
      <c r="AN821" s="307"/>
      <c r="AO821" s="307"/>
      <c r="AP821" s="307"/>
      <c r="AQ821" s="307"/>
      <c r="AR821" s="307"/>
      <c r="AU821" s="306"/>
      <c r="AV821" s="306"/>
      <c r="AW821" s="307"/>
      <c r="AX821" s="306"/>
      <c r="AY821" s="306"/>
      <c r="AZ821" s="306"/>
      <c r="BA821" s="306"/>
      <c r="BB821" s="306"/>
      <c r="BC821" s="306"/>
      <c r="BD821" s="306"/>
    </row>
    <row r="822" spans="7:56" s="302" customFormat="1" ht="11.75" customHeight="1" x14ac:dyDescent="0.15">
      <c r="G822" s="300"/>
      <c r="H822" s="301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  <c r="Y822" s="301"/>
      <c r="Z822" s="301"/>
      <c r="AA822" s="301"/>
      <c r="AB822" s="301"/>
      <c r="AC822" s="301"/>
      <c r="AD822" s="301"/>
      <c r="AE822" s="301"/>
      <c r="AH822" s="306"/>
      <c r="AI822" s="306"/>
      <c r="AJ822" s="307"/>
      <c r="AK822" s="307"/>
      <c r="AL822" s="307"/>
      <c r="AM822" s="307"/>
      <c r="AN822" s="307"/>
      <c r="AO822" s="307"/>
      <c r="AP822" s="307"/>
      <c r="AQ822" s="307"/>
      <c r="AR822" s="307"/>
      <c r="AU822" s="306"/>
      <c r="AV822" s="306"/>
      <c r="AW822" s="307"/>
      <c r="AX822" s="306"/>
      <c r="AY822" s="306"/>
      <c r="AZ822" s="306"/>
      <c r="BA822" s="306"/>
      <c r="BB822" s="306"/>
      <c r="BC822" s="306"/>
      <c r="BD822" s="306"/>
    </row>
    <row r="823" spans="7:56" s="302" customFormat="1" ht="11.75" customHeight="1" x14ac:dyDescent="0.15">
      <c r="G823" s="300"/>
      <c r="H823" s="301"/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  <c r="Y823" s="301"/>
      <c r="Z823" s="301"/>
      <c r="AA823" s="301"/>
      <c r="AB823" s="301"/>
      <c r="AC823" s="301"/>
      <c r="AD823" s="301"/>
      <c r="AE823" s="301"/>
      <c r="AH823" s="306"/>
      <c r="AI823" s="306"/>
      <c r="AJ823" s="307"/>
      <c r="AK823" s="307"/>
      <c r="AL823" s="307"/>
      <c r="AM823" s="307"/>
      <c r="AN823" s="307"/>
      <c r="AO823" s="307"/>
      <c r="AP823" s="307"/>
      <c r="AQ823" s="307"/>
      <c r="AR823" s="307"/>
      <c r="AU823" s="306"/>
      <c r="AV823" s="306"/>
      <c r="AW823" s="307"/>
      <c r="AX823" s="306"/>
      <c r="AY823" s="306"/>
      <c r="AZ823" s="306"/>
      <c r="BA823" s="306"/>
      <c r="BB823" s="306"/>
      <c r="BC823" s="306"/>
      <c r="BD823" s="306"/>
    </row>
    <row r="824" spans="7:56" s="302" customFormat="1" ht="11.75" customHeight="1" x14ac:dyDescent="0.15">
      <c r="G824" s="300"/>
      <c r="H824" s="301"/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  <c r="Y824" s="301"/>
      <c r="Z824" s="301"/>
      <c r="AA824" s="301"/>
      <c r="AB824" s="301"/>
      <c r="AC824" s="301"/>
      <c r="AD824" s="301"/>
      <c r="AE824" s="301"/>
      <c r="AH824" s="306"/>
      <c r="AI824" s="306"/>
      <c r="AJ824" s="307"/>
      <c r="AK824" s="307"/>
      <c r="AL824" s="307"/>
      <c r="AM824" s="307"/>
      <c r="AN824" s="307"/>
      <c r="AO824" s="307"/>
      <c r="AP824" s="307"/>
      <c r="AQ824" s="307"/>
      <c r="AR824" s="307"/>
      <c r="AU824" s="306"/>
      <c r="AV824" s="306"/>
      <c r="AW824" s="307"/>
      <c r="AX824" s="306"/>
      <c r="AY824" s="306"/>
      <c r="AZ824" s="306"/>
      <c r="BA824" s="306"/>
      <c r="BB824" s="306"/>
      <c r="BC824" s="306"/>
      <c r="BD824" s="306"/>
    </row>
    <row r="825" spans="7:56" s="302" customFormat="1" ht="11.75" customHeight="1" x14ac:dyDescent="0.15">
      <c r="G825" s="300"/>
      <c r="H825" s="301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  <c r="Y825" s="301"/>
      <c r="Z825" s="301"/>
      <c r="AA825" s="301"/>
      <c r="AB825" s="301"/>
      <c r="AC825" s="301"/>
      <c r="AD825" s="301"/>
      <c r="AE825" s="301"/>
      <c r="AH825" s="306"/>
      <c r="AI825" s="306"/>
      <c r="AJ825" s="307"/>
      <c r="AK825" s="307"/>
      <c r="AL825" s="307"/>
      <c r="AM825" s="307"/>
      <c r="AN825" s="307"/>
      <c r="AO825" s="307"/>
      <c r="AP825" s="307"/>
      <c r="AQ825" s="307"/>
      <c r="AR825" s="307"/>
      <c r="AU825" s="306"/>
      <c r="AV825" s="306"/>
      <c r="AW825" s="307"/>
      <c r="AX825" s="306"/>
      <c r="AY825" s="306"/>
      <c r="AZ825" s="306"/>
      <c r="BA825" s="306"/>
      <c r="BB825" s="306"/>
      <c r="BC825" s="306"/>
      <c r="BD825" s="306"/>
    </row>
    <row r="826" spans="7:56" s="302" customFormat="1" ht="11.75" customHeight="1" x14ac:dyDescent="0.15">
      <c r="G826" s="300"/>
      <c r="H826" s="301"/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  <c r="Y826" s="301"/>
      <c r="Z826" s="301"/>
      <c r="AA826" s="301"/>
      <c r="AB826" s="301"/>
      <c r="AC826" s="301"/>
      <c r="AD826" s="301"/>
      <c r="AE826" s="301"/>
      <c r="AH826" s="303"/>
      <c r="AI826" s="303"/>
      <c r="AJ826" s="303"/>
      <c r="AK826" s="303"/>
      <c r="AL826" s="303"/>
      <c r="AM826" s="303"/>
      <c r="AN826" s="303"/>
      <c r="AU826" s="306"/>
      <c r="AV826" s="306"/>
      <c r="AW826" s="307"/>
      <c r="AX826" s="306"/>
      <c r="AY826" s="306"/>
      <c r="AZ826" s="306"/>
      <c r="BA826" s="306"/>
      <c r="BB826" s="306"/>
      <c r="BC826" s="306"/>
      <c r="BD826" s="306"/>
    </row>
    <row r="827" spans="7:56" s="302" customFormat="1" ht="11.75" customHeight="1" x14ac:dyDescent="0.15">
      <c r="G827" s="300"/>
      <c r="H827" s="301"/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  <c r="Y827" s="301"/>
      <c r="Z827" s="301"/>
      <c r="AA827" s="301"/>
      <c r="AB827" s="301"/>
      <c r="AC827" s="301"/>
      <c r="AD827" s="301"/>
      <c r="AE827" s="301"/>
      <c r="AH827" s="303"/>
      <c r="AI827" s="303"/>
      <c r="AJ827" s="303"/>
      <c r="AK827" s="303"/>
      <c r="AL827" s="303"/>
      <c r="AM827" s="303"/>
      <c r="AN827" s="303"/>
      <c r="AU827" s="306"/>
      <c r="AV827" s="306"/>
      <c r="AW827" s="307"/>
      <c r="AX827" s="306"/>
      <c r="AY827" s="306"/>
      <c r="AZ827" s="306"/>
      <c r="BA827" s="306"/>
      <c r="BB827" s="306"/>
      <c r="BC827" s="306"/>
      <c r="BD827" s="306"/>
    </row>
    <row r="828" spans="7:56" s="302" customFormat="1" ht="11.75" customHeight="1" x14ac:dyDescent="0.15">
      <c r="G828" s="300"/>
      <c r="H828" s="301"/>
      <c r="I828" s="301"/>
      <c r="J828" s="301"/>
      <c r="K828" s="301"/>
      <c r="L828" s="301"/>
      <c r="M828" s="301"/>
      <c r="N828" s="301"/>
      <c r="O828" s="301"/>
      <c r="P828" s="301"/>
      <c r="Q828" s="301"/>
      <c r="R828" s="301"/>
      <c r="S828" s="301"/>
      <c r="T828" s="301"/>
      <c r="U828" s="301"/>
      <c r="V828" s="301"/>
      <c r="W828" s="301"/>
      <c r="X828" s="301"/>
      <c r="Y828" s="301"/>
      <c r="Z828" s="301"/>
      <c r="AA828" s="301"/>
      <c r="AB828" s="301"/>
      <c r="AC828" s="301"/>
      <c r="AD828" s="301"/>
      <c r="AE828" s="301"/>
      <c r="AH828" s="317"/>
      <c r="AI828" s="303"/>
      <c r="AJ828" s="303"/>
      <c r="AK828" s="303"/>
      <c r="AL828" s="303"/>
      <c r="AM828" s="303"/>
      <c r="AN828" s="303"/>
      <c r="AU828" s="306"/>
      <c r="AV828" s="306"/>
      <c r="AW828" s="307"/>
      <c r="AX828" s="306"/>
      <c r="AY828" s="306"/>
      <c r="AZ828" s="306"/>
      <c r="BA828" s="306"/>
      <c r="BB828" s="306"/>
      <c r="BC828" s="306"/>
      <c r="BD828" s="306"/>
    </row>
    <row r="829" spans="7:56" s="302" customFormat="1" ht="11.75" customHeight="1" x14ac:dyDescent="0.15">
      <c r="G829" s="300"/>
      <c r="H829" s="301"/>
      <c r="I829" s="301"/>
      <c r="J829" s="301"/>
      <c r="K829" s="301"/>
      <c r="L829" s="301"/>
      <c r="M829" s="301"/>
      <c r="N829" s="301"/>
      <c r="O829" s="301"/>
      <c r="P829" s="301"/>
      <c r="Q829" s="301"/>
      <c r="R829" s="301"/>
      <c r="S829" s="301"/>
      <c r="T829" s="301"/>
      <c r="U829" s="301"/>
      <c r="V829" s="301"/>
      <c r="W829" s="301"/>
      <c r="X829" s="301"/>
      <c r="Y829" s="301"/>
      <c r="Z829" s="301"/>
      <c r="AA829" s="301"/>
      <c r="AB829" s="301"/>
      <c r="AC829" s="301"/>
      <c r="AD829" s="301"/>
      <c r="AE829" s="301"/>
      <c r="AH829" s="303"/>
      <c r="AI829" s="303"/>
      <c r="AJ829" s="303"/>
      <c r="AK829" s="303"/>
      <c r="AL829" s="303"/>
      <c r="AM829" s="303"/>
      <c r="AN829" s="303"/>
      <c r="AU829" s="306"/>
      <c r="AV829" s="306"/>
      <c r="AW829" s="307"/>
      <c r="AX829" s="306"/>
      <c r="AY829" s="306"/>
      <c r="AZ829" s="306"/>
      <c r="BA829" s="306"/>
      <c r="BB829" s="306"/>
      <c r="BC829" s="306"/>
      <c r="BD829" s="306"/>
    </row>
    <row r="830" spans="7:56" s="302" customFormat="1" ht="11.75" customHeight="1" x14ac:dyDescent="0.15">
      <c r="G830" s="300"/>
      <c r="H830" s="301"/>
      <c r="I830" s="301"/>
      <c r="J830" s="301"/>
      <c r="K830" s="301"/>
      <c r="L830" s="301"/>
      <c r="M830" s="301"/>
      <c r="N830" s="301"/>
      <c r="O830" s="301"/>
      <c r="P830" s="301"/>
      <c r="Q830" s="301"/>
      <c r="R830" s="301"/>
      <c r="S830" s="301"/>
      <c r="T830" s="301"/>
      <c r="U830" s="301"/>
      <c r="V830" s="301"/>
      <c r="W830" s="301"/>
      <c r="X830" s="301"/>
      <c r="Y830" s="301"/>
      <c r="Z830" s="301"/>
      <c r="AA830" s="301"/>
      <c r="AB830" s="301"/>
      <c r="AC830" s="301"/>
      <c r="AD830" s="301"/>
      <c r="AE830" s="301"/>
      <c r="AH830" s="306"/>
      <c r="AI830" s="306"/>
      <c r="AJ830" s="307"/>
      <c r="AK830" s="310"/>
      <c r="AL830" s="310"/>
      <c r="AM830" s="310"/>
      <c r="AN830" s="310"/>
      <c r="AO830" s="310"/>
      <c r="AP830" s="310"/>
      <c r="AQ830" s="310"/>
      <c r="AR830" s="310"/>
      <c r="AU830" s="306"/>
      <c r="AV830" s="306"/>
      <c r="AW830" s="307"/>
      <c r="AX830" s="306"/>
      <c r="AY830" s="306"/>
      <c r="AZ830" s="306"/>
      <c r="BA830" s="306"/>
      <c r="BB830" s="306"/>
      <c r="BC830" s="306"/>
      <c r="BD830" s="306"/>
    </row>
    <row r="831" spans="7:56" s="302" customFormat="1" ht="11.75" customHeight="1" x14ac:dyDescent="0.15">
      <c r="G831" s="300"/>
      <c r="H831" s="301"/>
      <c r="I831" s="301"/>
      <c r="J831" s="301"/>
      <c r="K831" s="301"/>
      <c r="L831" s="301"/>
      <c r="M831" s="301"/>
      <c r="N831" s="301"/>
      <c r="O831" s="301"/>
      <c r="P831" s="301"/>
      <c r="Q831" s="301"/>
      <c r="R831" s="301"/>
      <c r="S831" s="301"/>
      <c r="T831" s="301"/>
      <c r="U831" s="301"/>
      <c r="V831" s="301"/>
      <c r="W831" s="301"/>
      <c r="X831" s="301"/>
      <c r="Y831" s="301"/>
      <c r="Z831" s="301"/>
      <c r="AA831" s="301"/>
      <c r="AB831" s="301"/>
      <c r="AC831" s="301"/>
      <c r="AD831" s="301"/>
      <c r="AE831" s="301"/>
      <c r="AH831" s="306"/>
      <c r="AI831" s="306"/>
      <c r="AJ831" s="307"/>
      <c r="AK831" s="310"/>
      <c r="AL831" s="310"/>
      <c r="AM831" s="310"/>
      <c r="AN831" s="310"/>
      <c r="AO831" s="310"/>
      <c r="AP831" s="310"/>
      <c r="AQ831" s="310"/>
      <c r="AR831" s="310"/>
      <c r="AU831" s="306"/>
      <c r="AV831" s="306"/>
      <c r="AW831" s="307"/>
      <c r="AX831" s="306"/>
      <c r="AY831" s="306"/>
      <c r="AZ831" s="306"/>
      <c r="BA831" s="306"/>
      <c r="BB831" s="306"/>
      <c r="BC831" s="306"/>
      <c r="BD831" s="306"/>
    </row>
    <row r="832" spans="7:56" s="302" customFormat="1" ht="11.75" customHeight="1" x14ac:dyDescent="0.15">
      <c r="G832" s="300"/>
      <c r="H832" s="301"/>
      <c r="I832" s="301"/>
      <c r="J832" s="301"/>
      <c r="K832" s="301"/>
      <c r="L832" s="301"/>
      <c r="M832" s="301"/>
      <c r="N832" s="301"/>
      <c r="O832" s="301"/>
      <c r="P832" s="301"/>
      <c r="Q832" s="301"/>
      <c r="R832" s="301"/>
      <c r="S832" s="301"/>
      <c r="T832" s="301"/>
      <c r="U832" s="301"/>
      <c r="V832" s="301"/>
      <c r="W832" s="301"/>
      <c r="X832" s="301"/>
      <c r="Y832" s="301"/>
      <c r="Z832" s="301"/>
      <c r="AA832" s="301"/>
      <c r="AB832" s="301"/>
      <c r="AC832" s="301"/>
      <c r="AD832" s="301"/>
      <c r="AE832" s="301"/>
      <c r="AH832" s="306"/>
      <c r="AI832" s="306"/>
      <c r="AJ832" s="307"/>
      <c r="AK832" s="307"/>
      <c r="AL832" s="307"/>
      <c r="AM832" s="307"/>
      <c r="AN832" s="307"/>
      <c r="AO832" s="307"/>
      <c r="AP832" s="307"/>
      <c r="AQ832" s="307"/>
      <c r="AR832" s="307"/>
      <c r="AU832" s="306"/>
      <c r="AV832" s="306"/>
      <c r="AW832" s="307"/>
      <c r="AX832" s="306"/>
      <c r="AY832" s="306"/>
      <c r="AZ832" s="306"/>
      <c r="BA832" s="306"/>
      <c r="BB832" s="306"/>
      <c r="BC832" s="306"/>
      <c r="BD832" s="306"/>
    </row>
    <row r="833" spans="7:56" s="302" customFormat="1" ht="11.75" customHeight="1" x14ac:dyDescent="0.15">
      <c r="G833" s="300"/>
      <c r="H833" s="301"/>
      <c r="I833" s="301"/>
      <c r="J833" s="301"/>
      <c r="K833" s="301"/>
      <c r="L833" s="301"/>
      <c r="M833" s="301"/>
      <c r="N833" s="301"/>
      <c r="O833" s="301"/>
      <c r="P833" s="301"/>
      <c r="Q833" s="301"/>
      <c r="R833" s="301"/>
      <c r="S833" s="301"/>
      <c r="T833" s="301"/>
      <c r="U833" s="301"/>
      <c r="V833" s="301"/>
      <c r="W833" s="301"/>
      <c r="X833" s="301"/>
      <c r="Y833" s="301"/>
      <c r="Z833" s="301"/>
      <c r="AA833" s="301"/>
      <c r="AB833" s="301"/>
      <c r="AC833" s="301"/>
      <c r="AD833" s="301"/>
      <c r="AE833" s="301"/>
      <c r="AH833" s="306"/>
      <c r="AI833" s="306"/>
      <c r="AJ833" s="307"/>
      <c r="AK833" s="307"/>
      <c r="AL833" s="307"/>
      <c r="AM833" s="307"/>
      <c r="AN833" s="307"/>
      <c r="AO833" s="307"/>
      <c r="AP833" s="307"/>
      <c r="AQ833" s="307"/>
      <c r="AR833" s="307"/>
      <c r="AU833" s="306"/>
      <c r="AV833" s="306"/>
      <c r="AW833" s="307"/>
      <c r="AX833" s="306"/>
      <c r="AY833" s="306"/>
      <c r="AZ833" s="306"/>
      <c r="BA833" s="306"/>
      <c r="BB833" s="306"/>
      <c r="BC833" s="306"/>
      <c r="BD833" s="306"/>
    </row>
    <row r="834" spans="7:56" s="302" customFormat="1" ht="11.75" customHeight="1" x14ac:dyDescent="0.15">
      <c r="G834" s="300"/>
      <c r="H834" s="301"/>
      <c r="I834" s="301"/>
      <c r="J834" s="301"/>
      <c r="K834" s="301"/>
      <c r="L834" s="301"/>
      <c r="M834" s="301"/>
      <c r="N834" s="301"/>
      <c r="O834" s="301"/>
      <c r="P834" s="301"/>
      <c r="Q834" s="301"/>
      <c r="R834" s="301"/>
      <c r="S834" s="301"/>
      <c r="T834" s="301"/>
      <c r="U834" s="301"/>
      <c r="V834" s="301"/>
      <c r="W834" s="301"/>
      <c r="X834" s="301"/>
      <c r="Y834" s="301"/>
      <c r="Z834" s="301"/>
      <c r="AA834" s="301"/>
      <c r="AB834" s="301"/>
      <c r="AC834" s="301"/>
      <c r="AD834" s="301"/>
      <c r="AE834" s="301"/>
      <c r="AH834" s="327"/>
      <c r="AI834" s="306"/>
      <c r="AJ834" s="307"/>
      <c r="AK834" s="307"/>
      <c r="AL834" s="307"/>
      <c r="AM834" s="307"/>
      <c r="AN834" s="307"/>
      <c r="AO834" s="307"/>
      <c r="AP834" s="307"/>
      <c r="AQ834" s="307"/>
      <c r="AR834" s="307"/>
      <c r="AU834" s="306"/>
      <c r="AV834" s="306"/>
      <c r="AW834" s="307"/>
      <c r="AX834" s="306"/>
      <c r="AY834" s="306"/>
      <c r="AZ834" s="306"/>
      <c r="BA834" s="306"/>
      <c r="BB834" s="306"/>
      <c r="BC834" s="306"/>
      <c r="BD834" s="306"/>
    </row>
    <row r="835" spans="7:56" s="302" customFormat="1" ht="11.75" customHeight="1" x14ac:dyDescent="0.15">
      <c r="G835" s="300"/>
      <c r="H835" s="301"/>
      <c r="I835" s="301"/>
      <c r="J835" s="301"/>
      <c r="K835" s="301"/>
      <c r="L835" s="301"/>
      <c r="M835" s="301"/>
      <c r="N835" s="301"/>
      <c r="O835" s="301"/>
      <c r="P835" s="301"/>
      <c r="Q835" s="301"/>
      <c r="R835" s="301"/>
      <c r="S835" s="301"/>
      <c r="T835" s="301"/>
      <c r="U835" s="301"/>
      <c r="V835" s="301"/>
      <c r="W835" s="301"/>
      <c r="X835" s="301"/>
      <c r="Y835" s="301"/>
      <c r="Z835" s="301"/>
      <c r="AA835" s="301"/>
      <c r="AB835" s="301"/>
      <c r="AC835" s="301"/>
      <c r="AD835" s="301"/>
      <c r="AE835" s="301"/>
      <c r="AH835" s="306"/>
      <c r="AI835" s="306"/>
      <c r="AJ835" s="307"/>
      <c r="AK835" s="307"/>
      <c r="AL835" s="307"/>
      <c r="AM835" s="307"/>
      <c r="AN835" s="307"/>
      <c r="AO835" s="307"/>
      <c r="AP835" s="307"/>
      <c r="AQ835" s="307"/>
      <c r="AR835" s="307"/>
      <c r="AU835" s="306"/>
      <c r="AV835" s="306"/>
      <c r="AW835" s="307"/>
      <c r="AX835" s="306"/>
      <c r="AY835" s="306"/>
      <c r="AZ835" s="306"/>
      <c r="BA835" s="306"/>
      <c r="BB835" s="306"/>
      <c r="BC835" s="306"/>
      <c r="BD835" s="306"/>
    </row>
    <row r="836" spans="7:56" s="302" customFormat="1" ht="11.75" customHeight="1" x14ac:dyDescent="0.15">
      <c r="G836" s="300"/>
      <c r="H836" s="301"/>
      <c r="I836" s="301"/>
      <c r="J836" s="301"/>
      <c r="K836" s="301"/>
      <c r="L836" s="301"/>
      <c r="M836" s="301"/>
      <c r="N836" s="301"/>
      <c r="O836" s="301"/>
      <c r="P836" s="301"/>
      <c r="Q836" s="301"/>
      <c r="R836" s="301"/>
      <c r="S836" s="301"/>
      <c r="T836" s="301"/>
      <c r="U836" s="301"/>
      <c r="V836" s="301"/>
      <c r="W836" s="301"/>
      <c r="X836" s="301"/>
      <c r="Y836" s="301"/>
      <c r="Z836" s="301"/>
      <c r="AA836" s="301"/>
      <c r="AB836" s="301"/>
      <c r="AC836" s="301"/>
      <c r="AD836" s="301"/>
      <c r="AE836" s="301"/>
      <c r="AH836" s="306"/>
      <c r="AI836" s="306"/>
      <c r="AJ836" s="307"/>
      <c r="AK836" s="307"/>
      <c r="AL836" s="307"/>
      <c r="AM836" s="307"/>
      <c r="AN836" s="307"/>
      <c r="AO836" s="307"/>
      <c r="AP836" s="307"/>
      <c r="AQ836" s="307"/>
      <c r="AR836" s="307"/>
      <c r="AU836" s="306"/>
      <c r="AV836" s="306"/>
      <c r="AW836" s="307"/>
      <c r="AX836" s="306"/>
      <c r="AY836" s="306"/>
      <c r="AZ836" s="306"/>
      <c r="BA836" s="306"/>
      <c r="BB836" s="306"/>
      <c r="BC836" s="306"/>
      <c r="BD836" s="306"/>
    </row>
    <row r="837" spans="7:56" s="302" customFormat="1" ht="11.75" customHeight="1" x14ac:dyDescent="0.15">
      <c r="G837" s="300"/>
      <c r="H837" s="301"/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  <c r="T837" s="301"/>
      <c r="U837" s="301"/>
      <c r="V837" s="301"/>
      <c r="W837" s="301"/>
      <c r="X837" s="301"/>
      <c r="Y837" s="301"/>
      <c r="Z837" s="301"/>
      <c r="AA837" s="301"/>
      <c r="AB837" s="301"/>
      <c r="AC837" s="301"/>
      <c r="AD837" s="301"/>
      <c r="AE837" s="301"/>
      <c r="AH837" s="306"/>
      <c r="AI837" s="306"/>
      <c r="AJ837" s="307"/>
      <c r="AK837" s="307"/>
      <c r="AL837" s="307"/>
      <c r="AM837" s="307"/>
      <c r="AN837" s="307"/>
      <c r="AO837" s="307"/>
      <c r="AP837" s="307"/>
      <c r="AQ837" s="307"/>
      <c r="AR837" s="307"/>
      <c r="AU837" s="306"/>
      <c r="AV837" s="306"/>
      <c r="AW837" s="307"/>
      <c r="AX837" s="306"/>
      <c r="AY837" s="306"/>
      <c r="AZ837" s="306"/>
      <c r="BA837" s="306"/>
      <c r="BB837" s="306"/>
      <c r="BC837" s="306"/>
      <c r="BD837" s="306"/>
    </row>
    <row r="838" spans="7:56" s="302" customFormat="1" ht="11.75" customHeight="1" x14ac:dyDescent="0.15">
      <c r="G838" s="300"/>
      <c r="H838" s="301"/>
      <c r="I838" s="301"/>
      <c r="J838" s="301"/>
      <c r="K838" s="301"/>
      <c r="L838" s="301"/>
      <c r="M838" s="301"/>
      <c r="N838" s="301"/>
      <c r="O838" s="301"/>
      <c r="P838" s="301"/>
      <c r="Q838" s="301"/>
      <c r="R838" s="301"/>
      <c r="S838" s="301"/>
      <c r="T838" s="301"/>
      <c r="U838" s="301"/>
      <c r="V838" s="301"/>
      <c r="W838" s="301"/>
      <c r="X838" s="301"/>
      <c r="Y838" s="301"/>
      <c r="Z838" s="301"/>
      <c r="AA838" s="301"/>
      <c r="AB838" s="301"/>
      <c r="AC838" s="301"/>
      <c r="AD838" s="301"/>
      <c r="AE838" s="301"/>
      <c r="AH838" s="306"/>
      <c r="AI838" s="306"/>
      <c r="AJ838" s="307"/>
      <c r="AK838" s="307"/>
      <c r="AL838" s="307"/>
      <c r="AM838" s="307"/>
      <c r="AN838" s="307"/>
      <c r="AO838" s="307"/>
      <c r="AP838" s="307"/>
      <c r="AQ838" s="307"/>
      <c r="AR838" s="307"/>
      <c r="AU838" s="306"/>
      <c r="AV838" s="306"/>
      <c r="AW838" s="307"/>
      <c r="AX838" s="306"/>
      <c r="AY838" s="306"/>
      <c r="AZ838" s="306"/>
      <c r="BA838" s="306"/>
      <c r="BB838" s="306"/>
      <c r="BC838" s="306"/>
      <c r="BD838" s="306"/>
    </row>
    <row r="839" spans="7:56" s="302" customFormat="1" ht="11.75" customHeight="1" x14ac:dyDescent="0.15">
      <c r="G839" s="300"/>
      <c r="H839" s="301"/>
      <c r="I839" s="301"/>
      <c r="J839" s="301"/>
      <c r="K839" s="301"/>
      <c r="L839" s="301"/>
      <c r="M839" s="301"/>
      <c r="N839" s="301"/>
      <c r="O839" s="301"/>
      <c r="P839" s="301"/>
      <c r="Q839" s="301"/>
      <c r="R839" s="301"/>
      <c r="S839" s="301"/>
      <c r="T839" s="301"/>
      <c r="U839" s="301"/>
      <c r="V839" s="301"/>
      <c r="W839" s="301"/>
      <c r="X839" s="301"/>
      <c r="Y839" s="301"/>
      <c r="Z839" s="301"/>
      <c r="AA839" s="301"/>
      <c r="AB839" s="301"/>
      <c r="AC839" s="301"/>
      <c r="AD839" s="301"/>
      <c r="AE839" s="301"/>
      <c r="AH839" s="306"/>
      <c r="AI839" s="306"/>
      <c r="AJ839" s="307"/>
      <c r="AK839" s="307"/>
      <c r="AL839" s="307"/>
      <c r="AM839" s="307"/>
      <c r="AN839" s="307"/>
      <c r="AO839" s="307"/>
      <c r="AP839" s="307"/>
      <c r="AQ839" s="307"/>
      <c r="AR839" s="307"/>
      <c r="AU839" s="306"/>
      <c r="AV839" s="306"/>
      <c r="AW839" s="307"/>
      <c r="AX839" s="306"/>
      <c r="AY839" s="306"/>
      <c r="AZ839" s="306"/>
      <c r="BA839" s="306"/>
      <c r="BB839" s="306"/>
      <c r="BC839" s="306"/>
      <c r="BD839" s="306"/>
    </row>
    <row r="840" spans="7:56" s="302" customFormat="1" ht="11.75" customHeight="1" x14ac:dyDescent="0.15">
      <c r="G840" s="300"/>
      <c r="H840" s="301"/>
      <c r="I840" s="301"/>
      <c r="J840" s="301"/>
      <c r="K840" s="301"/>
      <c r="L840" s="301"/>
      <c r="M840" s="301"/>
      <c r="N840" s="301"/>
      <c r="O840" s="301"/>
      <c r="P840" s="301"/>
      <c r="Q840" s="301"/>
      <c r="R840" s="301"/>
      <c r="S840" s="301"/>
      <c r="T840" s="301"/>
      <c r="U840" s="301"/>
      <c r="V840" s="301"/>
      <c r="W840" s="301"/>
      <c r="X840" s="301"/>
      <c r="Y840" s="301"/>
      <c r="Z840" s="301"/>
      <c r="AA840" s="301"/>
      <c r="AB840" s="301"/>
      <c r="AC840" s="301"/>
      <c r="AD840" s="301"/>
      <c r="AE840" s="301"/>
      <c r="AH840" s="327"/>
      <c r="AI840" s="306"/>
      <c r="AJ840" s="307"/>
      <c r="AK840" s="307"/>
      <c r="AL840" s="307"/>
      <c r="AM840" s="307"/>
      <c r="AN840" s="307"/>
      <c r="AO840" s="307"/>
      <c r="AP840" s="307"/>
      <c r="AQ840" s="307"/>
      <c r="AR840" s="307"/>
      <c r="AU840" s="306"/>
      <c r="AV840" s="306"/>
      <c r="AW840" s="307"/>
      <c r="AX840" s="306"/>
      <c r="AY840" s="306"/>
      <c r="AZ840" s="306"/>
      <c r="BA840" s="306"/>
      <c r="BB840" s="306"/>
      <c r="BC840" s="306"/>
      <c r="BD840" s="306"/>
    </row>
    <row r="841" spans="7:56" s="302" customFormat="1" ht="11.75" customHeight="1" x14ac:dyDescent="0.15">
      <c r="G841" s="300"/>
      <c r="H841" s="301"/>
      <c r="I841" s="301"/>
      <c r="J841" s="301"/>
      <c r="K841" s="301"/>
      <c r="L841" s="301"/>
      <c r="M841" s="301"/>
      <c r="N841" s="301"/>
      <c r="O841" s="301"/>
      <c r="P841" s="301"/>
      <c r="Q841" s="301"/>
      <c r="R841" s="301"/>
      <c r="S841" s="301"/>
      <c r="T841" s="301"/>
      <c r="U841" s="301"/>
      <c r="V841" s="301"/>
      <c r="W841" s="301"/>
      <c r="X841" s="301"/>
      <c r="Y841" s="301"/>
      <c r="Z841" s="301"/>
      <c r="AA841" s="301"/>
      <c r="AB841" s="301"/>
      <c r="AC841" s="301"/>
      <c r="AD841" s="301"/>
      <c r="AE841" s="301"/>
      <c r="AH841" s="306"/>
      <c r="AI841" s="306"/>
      <c r="AJ841" s="307"/>
      <c r="AK841" s="307"/>
      <c r="AL841" s="307"/>
      <c r="AM841" s="307"/>
      <c r="AN841" s="307"/>
      <c r="AO841" s="307"/>
      <c r="AP841" s="307"/>
      <c r="AQ841" s="307"/>
      <c r="AR841" s="307"/>
      <c r="AU841" s="306"/>
      <c r="AV841" s="306"/>
      <c r="AW841" s="307"/>
      <c r="AX841" s="306"/>
      <c r="AY841" s="306"/>
      <c r="AZ841" s="306"/>
      <c r="BA841" s="306"/>
      <c r="BB841" s="306"/>
      <c r="BC841" s="306"/>
      <c r="BD841" s="306"/>
    </row>
    <row r="842" spans="7:56" s="302" customFormat="1" ht="11.75" customHeight="1" x14ac:dyDescent="0.15">
      <c r="G842" s="300"/>
      <c r="H842" s="301"/>
      <c r="I842" s="301"/>
      <c r="J842" s="301"/>
      <c r="K842" s="301"/>
      <c r="L842" s="301"/>
      <c r="M842" s="301"/>
      <c r="N842" s="301"/>
      <c r="O842" s="301"/>
      <c r="P842" s="301"/>
      <c r="Q842" s="301"/>
      <c r="R842" s="301"/>
      <c r="S842" s="301"/>
      <c r="T842" s="301"/>
      <c r="U842" s="301"/>
      <c r="V842" s="301"/>
      <c r="W842" s="301"/>
      <c r="X842" s="301"/>
      <c r="Y842" s="301"/>
      <c r="Z842" s="301"/>
      <c r="AA842" s="301"/>
      <c r="AB842" s="301"/>
      <c r="AC842" s="301"/>
      <c r="AD842" s="301"/>
      <c r="AE842" s="301"/>
      <c r="AH842" s="306"/>
      <c r="AI842" s="306"/>
      <c r="AJ842" s="307"/>
      <c r="AK842" s="307"/>
      <c r="AL842" s="307"/>
      <c r="AM842" s="307"/>
      <c r="AN842" s="307"/>
      <c r="AO842" s="307"/>
      <c r="AP842" s="307"/>
      <c r="AQ842" s="307"/>
      <c r="AR842" s="307"/>
      <c r="AU842" s="306"/>
      <c r="AV842" s="306"/>
      <c r="AW842" s="307"/>
      <c r="AX842" s="306"/>
      <c r="AY842" s="306"/>
      <c r="AZ842" s="306"/>
      <c r="BA842" s="306"/>
      <c r="BB842" s="306"/>
      <c r="BC842" s="306"/>
      <c r="BD842" s="306"/>
    </row>
    <row r="843" spans="7:56" s="302" customFormat="1" ht="11.75" customHeight="1" x14ac:dyDescent="0.15">
      <c r="G843" s="300"/>
      <c r="H843" s="301"/>
      <c r="I843" s="301"/>
      <c r="J843" s="301"/>
      <c r="K843" s="301"/>
      <c r="L843" s="301"/>
      <c r="M843" s="301"/>
      <c r="N843" s="301"/>
      <c r="O843" s="301"/>
      <c r="P843" s="301"/>
      <c r="Q843" s="301"/>
      <c r="R843" s="301"/>
      <c r="S843" s="301"/>
      <c r="T843" s="301"/>
      <c r="U843" s="301"/>
      <c r="V843" s="301"/>
      <c r="W843" s="301"/>
      <c r="X843" s="301"/>
      <c r="Y843" s="301"/>
      <c r="Z843" s="301"/>
      <c r="AA843" s="301"/>
      <c r="AB843" s="301"/>
      <c r="AC843" s="301"/>
      <c r="AD843" s="301"/>
      <c r="AE843" s="301"/>
      <c r="AH843" s="306"/>
      <c r="AI843" s="306"/>
      <c r="AJ843" s="307"/>
      <c r="AK843" s="307"/>
      <c r="AL843" s="307"/>
      <c r="AM843" s="307"/>
      <c r="AN843" s="307"/>
      <c r="AO843" s="307"/>
      <c r="AP843" s="307"/>
      <c r="AQ843" s="307"/>
      <c r="AR843" s="307"/>
      <c r="AU843" s="306"/>
      <c r="AV843" s="306"/>
      <c r="AW843" s="307"/>
      <c r="AX843" s="306"/>
      <c r="AY843" s="306"/>
      <c r="AZ843" s="306"/>
      <c r="BA843" s="306"/>
      <c r="BB843" s="306"/>
      <c r="BC843" s="306"/>
      <c r="BD843" s="306"/>
    </row>
    <row r="844" spans="7:56" s="302" customFormat="1" ht="11.75" customHeight="1" x14ac:dyDescent="0.15">
      <c r="G844" s="300"/>
      <c r="H844" s="301"/>
      <c r="I844" s="301"/>
      <c r="J844" s="301"/>
      <c r="K844" s="301"/>
      <c r="L844" s="301"/>
      <c r="M844" s="301"/>
      <c r="N844" s="301"/>
      <c r="O844" s="301"/>
      <c r="P844" s="301"/>
      <c r="Q844" s="301"/>
      <c r="R844" s="301"/>
      <c r="S844" s="301"/>
      <c r="T844" s="301"/>
      <c r="U844" s="301"/>
      <c r="V844" s="301"/>
      <c r="W844" s="301"/>
      <c r="X844" s="301"/>
      <c r="Y844" s="301"/>
      <c r="Z844" s="301"/>
      <c r="AA844" s="301"/>
      <c r="AB844" s="301"/>
      <c r="AC844" s="301"/>
      <c r="AD844" s="301"/>
      <c r="AE844" s="301"/>
      <c r="AH844" s="306"/>
      <c r="AI844" s="306"/>
      <c r="AJ844" s="307"/>
      <c r="AK844" s="307"/>
      <c r="AL844" s="307"/>
      <c r="AM844" s="307"/>
      <c r="AN844" s="307"/>
      <c r="AO844" s="307"/>
      <c r="AP844" s="307"/>
      <c r="AQ844" s="307"/>
      <c r="AR844" s="307"/>
      <c r="AU844" s="306"/>
      <c r="AV844" s="306"/>
      <c r="AW844" s="307"/>
      <c r="AX844" s="306"/>
      <c r="AY844" s="306"/>
      <c r="AZ844" s="306"/>
      <c r="BA844" s="306"/>
      <c r="BB844" s="306"/>
      <c r="BC844" s="306"/>
      <c r="BD844" s="306"/>
    </row>
    <row r="845" spans="7:56" s="302" customFormat="1" ht="11.75" customHeight="1" x14ac:dyDescent="0.15">
      <c r="G845" s="300"/>
      <c r="H845" s="301"/>
      <c r="I845" s="301"/>
      <c r="J845" s="301"/>
      <c r="K845" s="301"/>
      <c r="L845" s="301"/>
      <c r="M845" s="301"/>
      <c r="N845" s="301"/>
      <c r="O845" s="301"/>
      <c r="P845" s="301"/>
      <c r="Q845" s="301"/>
      <c r="R845" s="301"/>
      <c r="S845" s="301"/>
      <c r="T845" s="301"/>
      <c r="U845" s="301"/>
      <c r="V845" s="301"/>
      <c r="W845" s="301"/>
      <c r="X845" s="301"/>
      <c r="Y845" s="301"/>
      <c r="Z845" s="301"/>
      <c r="AA845" s="301"/>
      <c r="AB845" s="301"/>
      <c r="AC845" s="301"/>
      <c r="AD845" s="301"/>
      <c r="AE845" s="301"/>
      <c r="AH845" s="306"/>
      <c r="AI845" s="306"/>
      <c r="AJ845" s="307"/>
      <c r="AK845" s="307"/>
      <c r="AL845" s="307"/>
      <c r="AM845" s="307"/>
      <c r="AN845" s="307"/>
      <c r="AO845" s="307"/>
      <c r="AP845" s="307"/>
      <c r="AQ845" s="307"/>
      <c r="AR845" s="307"/>
      <c r="AU845" s="306"/>
      <c r="AV845" s="306"/>
      <c r="AW845" s="307"/>
      <c r="AX845" s="306"/>
      <c r="AY845" s="306"/>
      <c r="AZ845" s="306"/>
      <c r="BA845" s="306"/>
      <c r="BB845" s="306"/>
      <c r="BC845" s="306"/>
      <c r="BD845" s="306"/>
    </row>
    <row r="846" spans="7:56" s="302" customFormat="1" ht="11.75" customHeight="1" x14ac:dyDescent="0.15">
      <c r="G846" s="300"/>
      <c r="H846" s="301"/>
      <c r="I846" s="301"/>
      <c r="J846" s="301"/>
      <c r="K846" s="301"/>
      <c r="L846" s="301"/>
      <c r="M846" s="301"/>
      <c r="N846" s="301"/>
      <c r="O846" s="301"/>
      <c r="P846" s="301"/>
      <c r="Q846" s="301"/>
      <c r="R846" s="301"/>
      <c r="S846" s="301"/>
      <c r="T846" s="301"/>
      <c r="U846" s="301"/>
      <c r="V846" s="301"/>
      <c r="W846" s="301"/>
      <c r="X846" s="301"/>
      <c r="Y846" s="301"/>
      <c r="Z846" s="301"/>
      <c r="AA846" s="301"/>
      <c r="AB846" s="301"/>
      <c r="AC846" s="301"/>
      <c r="AD846" s="301"/>
      <c r="AE846" s="301"/>
      <c r="AH846" s="327"/>
      <c r="AI846" s="306"/>
      <c r="AJ846" s="307"/>
      <c r="AK846" s="307"/>
      <c r="AL846" s="307"/>
      <c r="AM846" s="307"/>
      <c r="AN846" s="307"/>
      <c r="AO846" s="307"/>
      <c r="AP846" s="307"/>
      <c r="AQ846" s="307"/>
      <c r="AR846" s="307"/>
      <c r="AU846" s="306"/>
      <c r="AV846" s="306"/>
      <c r="AW846" s="307"/>
      <c r="AX846" s="306"/>
      <c r="AY846" s="306"/>
      <c r="AZ846" s="306"/>
      <c r="BA846" s="306"/>
      <c r="BB846" s="306"/>
      <c r="BC846" s="306"/>
      <c r="BD846" s="306"/>
    </row>
    <row r="847" spans="7:56" s="302" customFormat="1" ht="11.75" customHeight="1" x14ac:dyDescent="0.15">
      <c r="G847" s="300"/>
      <c r="H847" s="301"/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  <c r="T847" s="301"/>
      <c r="U847" s="301"/>
      <c r="V847" s="301"/>
      <c r="W847" s="301"/>
      <c r="X847" s="301"/>
      <c r="Y847" s="301"/>
      <c r="Z847" s="301"/>
      <c r="AA847" s="301"/>
      <c r="AB847" s="301"/>
      <c r="AC847" s="301"/>
      <c r="AD847" s="301"/>
      <c r="AE847" s="301"/>
      <c r="AH847" s="306"/>
      <c r="AI847" s="306"/>
      <c r="AJ847" s="307"/>
      <c r="AK847" s="307"/>
      <c r="AL847" s="307"/>
      <c r="AM847" s="307"/>
      <c r="AN847" s="307"/>
      <c r="AO847" s="307"/>
      <c r="AP847" s="307"/>
      <c r="AQ847" s="307"/>
      <c r="AR847" s="307"/>
      <c r="AU847" s="306"/>
      <c r="AV847" s="306"/>
      <c r="AW847" s="307"/>
      <c r="AX847" s="306"/>
      <c r="AY847" s="306"/>
      <c r="AZ847" s="306"/>
      <c r="BA847" s="306"/>
      <c r="BB847" s="306"/>
      <c r="BC847" s="306"/>
      <c r="BD847" s="306"/>
    </row>
    <row r="848" spans="7:56" s="302" customFormat="1" ht="11.75" customHeight="1" x14ac:dyDescent="0.15">
      <c r="G848" s="300"/>
      <c r="H848" s="301"/>
      <c r="I848" s="301"/>
      <c r="J848" s="301"/>
      <c r="K848" s="301"/>
      <c r="L848" s="301"/>
      <c r="M848" s="301"/>
      <c r="N848" s="301"/>
      <c r="O848" s="301"/>
      <c r="P848" s="301"/>
      <c r="Q848" s="301"/>
      <c r="R848" s="301"/>
      <c r="S848" s="301"/>
      <c r="T848" s="301"/>
      <c r="U848" s="301"/>
      <c r="V848" s="301"/>
      <c r="W848" s="301"/>
      <c r="X848" s="301"/>
      <c r="Y848" s="301"/>
      <c r="Z848" s="301"/>
      <c r="AA848" s="301"/>
      <c r="AB848" s="301"/>
      <c r="AC848" s="301"/>
      <c r="AD848" s="301"/>
      <c r="AE848" s="301"/>
      <c r="AH848" s="306"/>
      <c r="AI848" s="306"/>
      <c r="AJ848" s="307"/>
      <c r="AK848" s="307"/>
      <c r="AL848" s="307"/>
      <c r="AM848" s="307"/>
      <c r="AN848" s="307"/>
      <c r="AO848" s="307"/>
      <c r="AP848" s="307"/>
      <c r="AQ848" s="307"/>
      <c r="AR848" s="307"/>
      <c r="AU848" s="306"/>
      <c r="AV848" s="306"/>
      <c r="AW848" s="307"/>
      <c r="AX848" s="306"/>
      <c r="AY848" s="306"/>
      <c r="AZ848" s="306"/>
      <c r="BA848" s="306"/>
      <c r="BB848" s="306"/>
      <c r="BC848" s="306"/>
      <c r="BD848" s="306"/>
    </row>
    <row r="849" spans="7:56" s="302" customFormat="1" ht="11.75" customHeight="1" x14ac:dyDescent="0.15">
      <c r="G849" s="300"/>
      <c r="H849" s="301"/>
      <c r="I849" s="301"/>
      <c r="J849" s="301"/>
      <c r="K849" s="301"/>
      <c r="L849" s="301"/>
      <c r="M849" s="301"/>
      <c r="N849" s="301"/>
      <c r="O849" s="301"/>
      <c r="P849" s="301"/>
      <c r="Q849" s="301"/>
      <c r="R849" s="301"/>
      <c r="S849" s="301"/>
      <c r="T849" s="301"/>
      <c r="U849" s="301"/>
      <c r="V849" s="301"/>
      <c r="W849" s="301"/>
      <c r="X849" s="301"/>
      <c r="Y849" s="301"/>
      <c r="Z849" s="301"/>
      <c r="AA849" s="301"/>
      <c r="AB849" s="301"/>
      <c r="AC849" s="301"/>
      <c r="AD849" s="301"/>
      <c r="AE849" s="301"/>
      <c r="AH849" s="306"/>
      <c r="AI849" s="306"/>
      <c r="AJ849" s="307"/>
      <c r="AK849" s="307"/>
      <c r="AL849" s="307"/>
      <c r="AM849" s="307"/>
      <c r="AN849" s="307"/>
      <c r="AO849" s="307"/>
      <c r="AP849" s="307"/>
      <c r="AQ849" s="307"/>
      <c r="AR849" s="307"/>
      <c r="AU849" s="306"/>
      <c r="AV849" s="306"/>
      <c r="AW849" s="307"/>
      <c r="AX849" s="306"/>
      <c r="AY849" s="306"/>
      <c r="AZ849" s="306"/>
      <c r="BA849" s="306"/>
      <c r="BB849" s="306"/>
      <c r="BC849" s="306"/>
      <c r="BD849" s="306"/>
    </row>
    <row r="850" spans="7:56" s="302" customFormat="1" ht="11.75" customHeight="1" x14ac:dyDescent="0.15">
      <c r="G850" s="300"/>
      <c r="H850" s="301"/>
      <c r="I850" s="301"/>
      <c r="J850" s="301"/>
      <c r="K850" s="301"/>
      <c r="L850" s="301"/>
      <c r="M850" s="301"/>
      <c r="N850" s="301"/>
      <c r="O850" s="301"/>
      <c r="P850" s="301"/>
      <c r="Q850" s="301"/>
      <c r="R850" s="301"/>
      <c r="S850" s="301"/>
      <c r="T850" s="301"/>
      <c r="U850" s="301"/>
      <c r="V850" s="301"/>
      <c r="W850" s="301"/>
      <c r="X850" s="301"/>
      <c r="Y850" s="301"/>
      <c r="Z850" s="301"/>
      <c r="AA850" s="301"/>
      <c r="AB850" s="301"/>
      <c r="AC850" s="301"/>
      <c r="AD850" s="301"/>
      <c r="AE850" s="301"/>
      <c r="AH850" s="306"/>
      <c r="AI850" s="306"/>
      <c r="AJ850" s="307"/>
      <c r="AK850" s="307"/>
      <c r="AL850" s="307"/>
      <c r="AM850" s="307"/>
      <c r="AN850" s="307"/>
      <c r="AO850" s="307"/>
      <c r="AP850" s="307"/>
      <c r="AQ850" s="307"/>
      <c r="AR850" s="307"/>
      <c r="AU850" s="306"/>
      <c r="AV850" s="306"/>
      <c r="AW850" s="307"/>
      <c r="AX850" s="306"/>
      <c r="AY850" s="306"/>
      <c r="AZ850" s="306"/>
      <c r="BA850" s="306"/>
      <c r="BB850" s="306"/>
      <c r="BC850" s="306"/>
      <c r="BD850" s="306"/>
    </row>
    <row r="851" spans="7:56" s="302" customFormat="1" ht="11.75" customHeight="1" x14ac:dyDescent="0.15">
      <c r="G851" s="300"/>
      <c r="H851" s="301"/>
      <c r="I851" s="301"/>
      <c r="J851" s="301"/>
      <c r="K851" s="301"/>
      <c r="L851" s="301"/>
      <c r="M851" s="301"/>
      <c r="N851" s="301"/>
      <c r="O851" s="301"/>
      <c r="P851" s="301"/>
      <c r="Q851" s="301"/>
      <c r="R851" s="301"/>
      <c r="S851" s="301"/>
      <c r="T851" s="301"/>
      <c r="U851" s="301"/>
      <c r="V851" s="301"/>
      <c r="W851" s="301"/>
      <c r="X851" s="301"/>
      <c r="Y851" s="301"/>
      <c r="Z851" s="301"/>
      <c r="AA851" s="301"/>
      <c r="AB851" s="301"/>
      <c r="AC851" s="301"/>
      <c r="AD851" s="301"/>
      <c r="AE851" s="301"/>
      <c r="AH851" s="306"/>
      <c r="AI851" s="306"/>
      <c r="AJ851" s="307"/>
      <c r="AK851" s="307"/>
      <c r="AL851" s="307"/>
      <c r="AM851" s="307"/>
      <c r="AN851" s="307"/>
      <c r="AO851" s="307"/>
      <c r="AP851" s="307"/>
      <c r="AQ851" s="307"/>
      <c r="AR851" s="307"/>
      <c r="AU851" s="306"/>
      <c r="AV851" s="306"/>
      <c r="AW851" s="307"/>
      <c r="AX851" s="306"/>
      <c r="AY851" s="306"/>
      <c r="AZ851" s="306"/>
      <c r="BA851" s="306"/>
      <c r="BB851" s="306"/>
      <c r="BC851" s="306"/>
      <c r="BD851" s="306"/>
    </row>
    <row r="852" spans="7:56" s="302" customFormat="1" ht="11.75" customHeight="1" x14ac:dyDescent="0.15">
      <c r="G852" s="300"/>
      <c r="H852" s="301"/>
      <c r="I852" s="301"/>
      <c r="J852" s="301"/>
      <c r="K852" s="301"/>
      <c r="L852" s="301"/>
      <c r="M852" s="301"/>
      <c r="N852" s="301"/>
      <c r="O852" s="301"/>
      <c r="P852" s="301"/>
      <c r="Q852" s="301"/>
      <c r="R852" s="301"/>
      <c r="S852" s="301"/>
      <c r="T852" s="301"/>
      <c r="U852" s="301"/>
      <c r="V852" s="301"/>
      <c r="W852" s="301"/>
      <c r="X852" s="301"/>
      <c r="Y852" s="301"/>
      <c r="Z852" s="301"/>
      <c r="AA852" s="301"/>
      <c r="AB852" s="301"/>
      <c r="AC852" s="301"/>
      <c r="AD852" s="301"/>
      <c r="AE852" s="301"/>
      <c r="AH852" s="327"/>
      <c r="AI852" s="306"/>
      <c r="AJ852" s="307"/>
      <c r="AK852" s="307"/>
      <c r="AL852" s="307"/>
      <c r="AM852" s="307"/>
      <c r="AN852" s="307"/>
      <c r="AO852" s="307"/>
      <c r="AP852" s="307"/>
      <c r="AQ852" s="307"/>
      <c r="AR852" s="307"/>
      <c r="AU852" s="306"/>
      <c r="AV852" s="306"/>
      <c r="AW852" s="307"/>
      <c r="AX852" s="306"/>
      <c r="AY852" s="306"/>
      <c r="AZ852" s="306"/>
      <c r="BA852" s="306"/>
      <c r="BB852" s="306"/>
      <c r="BC852" s="306"/>
      <c r="BD852" s="306"/>
    </row>
    <row r="853" spans="7:56" s="302" customFormat="1" ht="11.75" customHeight="1" x14ac:dyDescent="0.15">
      <c r="G853" s="300"/>
      <c r="H853" s="301"/>
      <c r="I853" s="301"/>
      <c r="J853" s="301"/>
      <c r="K853" s="301"/>
      <c r="L853" s="301"/>
      <c r="M853" s="301"/>
      <c r="N853" s="301"/>
      <c r="O853" s="301"/>
      <c r="P853" s="301"/>
      <c r="Q853" s="301"/>
      <c r="R853" s="301"/>
      <c r="S853" s="301"/>
      <c r="T853" s="301"/>
      <c r="U853" s="301"/>
      <c r="V853" s="301"/>
      <c r="W853" s="301"/>
      <c r="X853" s="301"/>
      <c r="Y853" s="301"/>
      <c r="Z853" s="301"/>
      <c r="AA853" s="301"/>
      <c r="AB853" s="301"/>
      <c r="AC853" s="301"/>
      <c r="AD853" s="301"/>
      <c r="AE853" s="301"/>
      <c r="AH853" s="306"/>
      <c r="AI853" s="306"/>
      <c r="AJ853" s="307"/>
      <c r="AK853" s="307"/>
      <c r="AL853" s="307"/>
      <c r="AM853" s="307"/>
      <c r="AN853" s="307"/>
      <c r="AO853" s="307"/>
      <c r="AP853" s="307"/>
      <c r="AQ853" s="307"/>
      <c r="AR853" s="307"/>
      <c r="AU853" s="306"/>
      <c r="AV853" s="306"/>
      <c r="AW853" s="307"/>
      <c r="AX853" s="306"/>
      <c r="AY853" s="306"/>
      <c r="AZ853" s="306"/>
      <c r="BA853" s="306"/>
      <c r="BB853" s="306"/>
      <c r="BC853" s="306"/>
      <c r="BD853" s="306"/>
    </row>
    <row r="854" spans="7:56" s="302" customFormat="1" ht="11.75" customHeight="1" x14ac:dyDescent="0.15">
      <c r="G854" s="300"/>
      <c r="H854" s="301"/>
      <c r="I854" s="301"/>
      <c r="J854" s="301"/>
      <c r="K854" s="301"/>
      <c r="L854" s="301"/>
      <c r="M854" s="301"/>
      <c r="N854" s="301"/>
      <c r="O854" s="301"/>
      <c r="P854" s="301"/>
      <c r="Q854" s="301"/>
      <c r="R854" s="301"/>
      <c r="S854" s="301"/>
      <c r="T854" s="301"/>
      <c r="U854" s="301"/>
      <c r="V854" s="301"/>
      <c r="W854" s="301"/>
      <c r="X854" s="301"/>
      <c r="Y854" s="301"/>
      <c r="Z854" s="301"/>
      <c r="AA854" s="301"/>
      <c r="AB854" s="301"/>
      <c r="AC854" s="301"/>
      <c r="AD854" s="301"/>
      <c r="AE854" s="301"/>
      <c r="AH854" s="306"/>
      <c r="AI854" s="306"/>
      <c r="AJ854" s="307"/>
      <c r="AK854" s="307"/>
      <c r="AL854" s="307"/>
      <c r="AM854" s="307"/>
      <c r="AN854" s="307"/>
      <c r="AO854" s="307"/>
      <c r="AP854" s="307"/>
      <c r="AQ854" s="307"/>
      <c r="AR854" s="307"/>
      <c r="AU854" s="306"/>
      <c r="AV854" s="306"/>
      <c r="AW854" s="307"/>
      <c r="AX854" s="306"/>
      <c r="AY854" s="306"/>
      <c r="AZ854" s="306"/>
      <c r="BA854" s="306"/>
      <c r="BB854" s="306"/>
      <c r="BC854" s="306"/>
      <c r="BD854" s="306"/>
    </row>
    <row r="855" spans="7:56" s="302" customFormat="1" ht="11.75" customHeight="1" x14ac:dyDescent="0.15">
      <c r="G855" s="300"/>
      <c r="H855" s="301"/>
      <c r="I855" s="301"/>
      <c r="J855" s="301"/>
      <c r="K855" s="301"/>
      <c r="L855" s="301"/>
      <c r="M855" s="301"/>
      <c r="N855" s="301"/>
      <c r="O855" s="301"/>
      <c r="P855" s="301"/>
      <c r="Q855" s="301"/>
      <c r="R855" s="301"/>
      <c r="S855" s="301"/>
      <c r="T855" s="301"/>
      <c r="U855" s="301"/>
      <c r="V855" s="301"/>
      <c r="W855" s="301"/>
      <c r="X855" s="301"/>
      <c r="Y855" s="301"/>
      <c r="Z855" s="301"/>
      <c r="AA855" s="301"/>
      <c r="AB855" s="301"/>
      <c r="AC855" s="301"/>
      <c r="AD855" s="301"/>
      <c r="AE855" s="301"/>
      <c r="AH855" s="306"/>
      <c r="AI855" s="306"/>
      <c r="AJ855" s="307"/>
      <c r="AK855" s="307"/>
      <c r="AL855" s="307"/>
      <c r="AM855" s="307"/>
      <c r="AN855" s="307"/>
      <c r="AO855" s="307"/>
      <c r="AP855" s="307"/>
      <c r="AQ855" s="307"/>
      <c r="AR855" s="307"/>
      <c r="AU855" s="306"/>
      <c r="AV855" s="306"/>
      <c r="AW855" s="307"/>
      <c r="AX855" s="306"/>
      <c r="AY855" s="306"/>
      <c r="AZ855" s="306"/>
      <c r="BA855" s="306"/>
      <c r="BB855" s="306"/>
      <c r="BC855" s="306"/>
      <c r="BD855" s="306"/>
    </row>
    <row r="856" spans="7:56" s="302" customFormat="1" ht="11.75" customHeight="1" x14ac:dyDescent="0.15">
      <c r="G856" s="300"/>
      <c r="H856" s="301"/>
      <c r="I856" s="301"/>
      <c r="J856" s="301"/>
      <c r="K856" s="301"/>
      <c r="L856" s="301"/>
      <c r="M856" s="301"/>
      <c r="N856" s="301"/>
      <c r="O856" s="301"/>
      <c r="P856" s="301"/>
      <c r="Q856" s="301"/>
      <c r="R856" s="301"/>
      <c r="S856" s="301"/>
      <c r="T856" s="301"/>
      <c r="U856" s="301"/>
      <c r="V856" s="301"/>
      <c r="W856" s="301"/>
      <c r="X856" s="301"/>
      <c r="Y856" s="301"/>
      <c r="Z856" s="301"/>
      <c r="AA856" s="301"/>
      <c r="AB856" s="301"/>
      <c r="AC856" s="301"/>
      <c r="AD856" s="301"/>
      <c r="AE856" s="301"/>
      <c r="AH856" s="306"/>
      <c r="AI856" s="306"/>
      <c r="AJ856" s="307"/>
      <c r="AK856" s="307"/>
      <c r="AL856" s="307"/>
      <c r="AM856" s="307"/>
      <c r="AN856" s="307"/>
      <c r="AO856" s="307"/>
      <c r="AP856" s="307"/>
      <c r="AQ856" s="307"/>
      <c r="AR856" s="307"/>
      <c r="AU856" s="306"/>
      <c r="AV856" s="306"/>
      <c r="AW856" s="307"/>
      <c r="AX856" s="306"/>
      <c r="AY856" s="306"/>
      <c r="AZ856" s="306"/>
      <c r="BA856" s="306"/>
      <c r="BB856" s="306"/>
      <c r="BC856" s="306"/>
      <c r="BD856" s="306"/>
    </row>
    <row r="857" spans="7:56" s="302" customFormat="1" ht="11.75" customHeight="1" x14ac:dyDescent="0.15">
      <c r="G857" s="300"/>
      <c r="H857" s="301"/>
      <c r="I857" s="301"/>
      <c r="J857" s="301"/>
      <c r="K857" s="301"/>
      <c r="L857" s="301"/>
      <c r="M857" s="301"/>
      <c r="N857" s="301"/>
      <c r="O857" s="301"/>
      <c r="P857" s="301"/>
      <c r="Q857" s="301"/>
      <c r="R857" s="301"/>
      <c r="S857" s="301"/>
      <c r="T857" s="301"/>
      <c r="U857" s="301"/>
      <c r="V857" s="301"/>
      <c r="W857" s="301"/>
      <c r="X857" s="301"/>
      <c r="Y857" s="301"/>
      <c r="Z857" s="301"/>
      <c r="AA857" s="301"/>
      <c r="AB857" s="301"/>
      <c r="AC857" s="301"/>
      <c r="AD857" s="301"/>
      <c r="AE857" s="301"/>
      <c r="AH857" s="306"/>
      <c r="AI857" s="306"/>
      <c r="AJ857" s="307"/>
      <c r="AK857" s="307"/>
      <c r="AL857" s="307"/>
      <c r="AM857" s="307"/>
      <c r="AN857" s="307"/>
      <c r="AO857" s="307"/>
      <c r="AP857" s="307"/>
      <c r="AQ857" s="307"/>
      <c r="AR857" s="307"/>
      <c r="AU857" s="306"/>
      <c r="AV857" s="306"/>
      <c r="AW857" s="307"/>
      <c r="AX857" s="306"/>
      <c r="AY857" s="306"/>
      <c r="AZ857" s="306"/>
      <c r="BA857" s="306"/>
      <c r="BB857" s="306"/>
      <c r="BC857" s="306"/>
      <c r="BD857" s="306"/>
    </row>
    <row r="858" spans="7:56" s="302" customFormat="1" ht="11.75" customHeight="1" x14ac:dyDescent="0.15">
      <c r="G858" s="300"/>
      <c r="H858" s="301"/>
      <c r="I858" s="301"/>
      <c r="J858" s="301"/>
      <c r="K858" s="301"/>
      <c r="L858" s="301"/>
      <c r="M858" s="301"/>
      <c r="N858" s="301"/>
      <c r="O858" s="301"/>
      <c r="P858" s="301"/>
      <c r="Q858" s="301"/>
      <c r="R858" s="301"/>
      <c r="S858" s="301"/>
      <c r="T858" s="301"/>
      <c r="U858" s="301"/>
      <c r="V858" s="301"/>
      <c r="W858" s="301"/>
      <c r="X858" s="301"/>
      <c r="Y858" s="301"/>
      <c r="Z858" s="301"/>
      <c r="AA858" s="301"/>
      <c r="AB858" s="301"/>
      <c r="AC858" s="301"/>
      <c r="AD858" s="301"/>
      <c r="AE858" s="301"/>
      <c r="AH858" s="327"/>
      <c r="AI858" s="306"/>
      <c r="AJ858" s="307"/>
      <c r="AK858" s="307"/>
      <c r="AL858" s="307"/>
      <c r="AM858" s="307"/>
      <c r="AN858" s="307"/>
      <c r="AO858" s="307"/>
      <c r="AP858" s="307"/>
      <c r="AQ858" s="307"/>
      <c r="AR858" s="307"/>
      <c r="AU858" s="306"/>
      <c r="AV858" s="306"/>
      <c r="AW858" s="307"/>
      <c r="AX858" s="306"/>
      <c r="AY858" s="306"/>
      <c r="AZ858" s="306"/>
      <c r="BA858" s="306"/>
      <c r="BB858" s="306"/>
      <c r="BC858" s="306"/>
      <c r="BD858" s="306"/>
    </row>
    <row r="859" spans="7:56" s="302" customFormat="1" ht="11.75" customHeight="1" x14ac:dyDescent="0.15">
      <c r="G859" s="300"/>
      <c r="H859" s="301"/>
      <c r="I859" s="301"/>
      <c r="J859" s="301"/>
      <c r="K859" s="301"/>
      <c r="L859" s="301"/>
      <c r="M859" s="301"/>
      <c r="N859" s="301"/>
      <c r="O859" s="301"/>
      <c r="P859" s="301"/>
      <c r="Q859" s="301"/>
      <c r="R859" s="301"/>
      <c r="S859" s="301"/>
      <c r="T859" s="301"/>
      <c r="U859" s="301"/>
      <c r="V859" s="301"/>
      <c r="W859" s="301"/>
      <c r="X859" s="301"/>
      <c r="Y859" s="301"/>
      <c r="Z859" s="301"/>
      <c r="AA859" s="301"/>
      <c r="AB859" s="301"/>
      <c r="AC859" s="301"/>
      <c r="AD859" s="301"/>
      <c r="AE859" s="301"/>
      <c r="AH859" s="306"/>
      <c r="AI859" s="306"/>
      <c r="AJ859" s="307"/>
      <c r="AK859" s="307"/>
      <c r="AL859" s="307"/>
      <c r="AM859" s="307"/>
      <c r="AN859" s="307"/>
      <c r="AO859" s="307"/>
      <c r="AP859" s="307"/>
      <c r="AQ859" s="307"/>
      <c r="AR859" s="307"/>
      <c r="AU859" s="306"/>
      <c r="AV859" s="306"/>
      <c r="AW859" s="307"/>
      <c r="AX859" s="306"/>
      <c r="AY859" s="306"/>
      <c r="AZ859" s="306"/>
      <c r="BA859" s="306"/>
      <c r="BB859" s="306"/>
      <c r="BC859" s="306"/>
      <c r="BD859" s="306"/>
    </row>
    <row r="860" spans="7:56" s="302" customFormat="1" ht="11.75" customHeight="1" x14ac:dyDescent="0.15">
      <c r="G860" s="300"/>
      <c r="H860" s="301"/>
      <c r="I860" s="301"/>
      <c r="J860" s="301"/>
      <c r="K860" s="301"/>
      <c r="L860" s="301"/>
      <c r="M860" s="301"/>
      <c r="N860" s="301"/>
      <c r="O860" s="301"/>
      <c r="P860" s="301"/>
      <c r="Q860" s="301"/>
      <c r="R860" s="301"/>
      <c r="S860" s="301"/>
      <c r="T860" s="301"/>
      <c r="U860" s="301"/>
      <c r="V860" s="301"/>
      <c r="W860" s="301"/>
      <c r="X860" s="301"/>
      <c r="Y860" s="301"/>
      <c r="Z860" s="301"/>
      <c r="AA860" s="301"/>
      <c r="AB860" s="301"/>
      <c r="AC860" s="301"/>
      <c r="AD860" s="301"/>
      <c r="AE860" s="301"/>
      <c r="AH860" s="306"/>
      <c r="AI860" s="306"/>
      <c r="AJ860" s="307"/>
      <c r="AK860" s="307"/>
      <c r="AL860" s="307"/>
      <c r="AM860" s="307"/>
      <c r="AN860" s="307"/>
      <c r="AO860" s="307"/>
      <c r="AP860" s="307"/>
      <c r="AQ860" s="307"/>
      <c r="AR860" s="307"/>
      <c r="AU860" s="306"/>
      <c r="AV860" s="306"/>
      <c r="AW860" s="307"/>
      <c r="AX860" s="306"/>
      <c r="AY860" s="306"/>
      <c r="AZ860" s="306"/>
      <c r="BA860" s="306"/>
      <c r="BB860" s="306"/>
      <c r="BC860" s="306"/>
      <c r="BD860" s="306"/>
    </row>
    <row r="861" spans="7:56" s="302" customFormat="1" ht="11.75" customHeight="1" x14ac:dyDescent="0.15">
      <c r="G861" s="300"/>
      <c r="H861" s="301"/>
      <c r="I861" s="301"/>
      <c r="J861" s="301"/>
      <c r="K861" s="301"/>
      <c r="L861" s="301"/>
      <c r="M861" s="301"/>
      <c r="N861" s="301"/>
      <c r="O861" s="301"/>
      <c r="P861" s="301"/>
      <c r="Q861" s="301"/>
      <c r="R861" s="301"/>
      <c r="S861" s="301"/>
      <c r="T861" s="301"/>
      <c r="U861" s="301"/>
      <c r="V861" s="301"/>
      <c r="W861" s="301"/>
      <c r="X861" s="301"/>
      <c r="Y861" s="301"/>
      <c r="Z861" s="301"/>
      <c r="AA861" s="301"/>
      <c r="AB861" s="301"/>
      <c r="AC861" s="301"/>
      <c r="AD861" s="301"/>
      <c r="AE861" s="301"/>
      <c r="AH861" s="306"/>
      <c r="AI861" s="306"/>
      <c r="AJ861" s="307"/>
      <c r="AK861" s="307"/>
      <c r="AL861" s="307"/>
      <c r="AM861" s="307"/>
      <c r="AN861" s="307"/>
      <c r="AO861" s="307"/>
      <c r="AP861" s="307"/>
      <c r="AQ861" s="307"/>
      <c r="AR861" s="307"/>
      <c r="AU861" s="306"/>
      <c r="AV861" s="306"/>
      <c r="AW861" s="307"/>
      <c r="AX861" s="306"/>
      <c r="AY861" s="306"/>
      <c r="AZ861" s="306"/>
      <c r="BA861" s="306"/>
      <c r="BB861" s="306"/>
      <c r="BC861" s="306"/>
      <c r="BD861" s="306"/>
    </row>
    <row r="862" spans="7:56" s="302" customFormat="1" ht="11.75" customHeight="1" x14ac:dyDescent="0.15">
      <c r="G862" s="300"/>
      <c r="H862" s="301"/>
      <c r="I862" s="301"/>
      <c r="J862" s="301"/>
      <c r="K862" s="301"/>
      <c r="L862" s="301"/>
      <c r="M862" s="301"/>
      <c r="N862" s="301"/>
      <c r="O862" s="301"/>
      <c r="P862" s="301"/>
      <c r="Q862" s="301"/>
      <c r="R862" s="301"/>
      <c r="S862" s="301"/>
      <c r="T862" s="301"/>
      <c r="U862" s="301"/>
      <c r="V862" s="301"/>
      <c r="W862" s="301"/>
      <c r="X862" s="301"/>
      <c r="Y862" s="301"/>
      <c r="Z862" s="301"/>
      <c r="AA862" s="301"/>
      <c r="AB862" s="301"/>
      <c r="AC862" s="301"/>
      <c r="AD862" s="301"/>
      <c r="AE862" s="301"/>
      <c r="AH862" s="306"/>
      <c r="AI862" s="306"/>
      <c r="AJ862" s="307"/>
      <c r="AK862" s="307"/>
      <c r="AL862" s="307"/>
      <c r="AM862" s="307"/>
      <c r="AN862" s="307"/>
      <c r="AO862" s="307"/>
      <c r="AP862" s="307"/>
      <c r="AQ862" s="307"/>
      <c r="AR862" s="307"/>
      <c r="AU862" s="306"/>
      <c r="AV862" s="306"/>
      <c r="AW862" s="307"/>
      <c r="AX862" s="306"/>
      <c r="AY862" s="306"/>
      <c r="AZ862" s="306"/>
      <c r="BA862" s="306"/>
      <c r="BB862" s="306"/>
      <c r="BC862" s="306"/>
      <c r="BD862" s="306"/>
    </row>
    <row r="863" spans="7:56" s="302" customFormat="1" ht="11.75" customHeight="1" x14ac:dyDescent="0.15">
      <c r="G863" s="300"/>
      <c r="H863" s="301"/>
      <c r="I863" s="301"/>
      <c r="J863" s="301"/>
      <c r="K863" s="301"/>
      <c r="L863" s="301"/>
      <c r="M863" s="301"/>
      <c r="N863" s="301"/>
      <c r="O863" s="301"/>
      <c r="P863" s="301"/>
      <c r="Q863" s="301"/>
      <c r="R863" s="301"/>
      <c r="S863" s="301"/>
      <c r="T863" s="301"/>
      <c r="U863" s="301"/>
      <c r="V863" s="301"/>
      <c r="W863" s="301"/>
      <c r="X863" s="301"/>
      <c r="Y863" s="301"/>
      <c r="Z863" s="301"/>
      <c r="AA863" s="301"/>
      <c r="AB863" s="301"/>
      <c r="AC863" s="301"/>
      <c r="AD863" s="301"/>
      <c r="AE863" s="301"/>
      <c r="AH863" s="306"/>
      <c r="AI863" s="306"/>
      <c r="AJ863" s="307"/>
      <c r="AK863" s="307"/>
      <c r="AL863" s="307"/>
      <c r="AM863" s="307"/>
      <c r="AN863" s="307"/>
      <c r="AO863" s="307"/>
      <c r="AP863" s="307"/>
      <c r="AQ863" s="307"/>
      <c r="AR863" s="307"/>
      <c r="AU863" s="306"/>
      <c r="AV863" s="306"/>
      <c r="AW863" s="307"/>
      <c r="AX863" s="306"/>
      <c r="AY863" s="306"/>
      <c r="AZ863" s="306"/>
      <c r="BA863" s="306"/>
      <c r="BB863" s="306"/>
      <c r="BC863" s="306"/>
      <c r="BD863" s="306"/>
    </row>
    <row r="864" spans="7:56" s="302" customFormat="1" ht="11.75" customHeight="1" x14ac:dyDescent="0.15">
      <c r="G864" s="300"/>
      <c r="H864" s="301"/>
      <c r="I864" s="301"/>
      <c r="J864" s="301"/>
      <c r="K864" s="301"/>
      <c r="L864" s="301"/>
      <c r="M864" s="301"/>
      <c r="N864" s="301"/>
      <c r="O864" s="301"/>
      <c r="P864" s="301"/>
      <c r="Q864" s="301"/>
      <c r="R864" s="301"/>
      <c r="S864" s="301"/>
      <c r="T864" s="301"/>
      <c r="U864" s="301"/>
      <c r="V864" s="301"/>
      <c r="W864" s="301"/>
      <c r="X864" s="301"/>
      <c r="Y864" s="301"/>
      <c r="Z864" s="301"/>
      <c r="AA864" s="301"/>
      <c r="AB864" s="301"/>
      <c r="AC864" s="301"/>
      <c r="AD864" s="301"/>
      <c r="AE864" s="301"/>
      <c r="AH864" s="327"/>
      <c r="AI864" s="306"/>
      <c r="AJ864" s="307"/>
      <c r="AK864" s="307"/>
      <c r="AL864" s="307"/>
      <c r="AM864" s="307"/>
      <c r="AN864" s="307"/>
      <c r="AO864" s="307"/>
      <c r="AP864" s="307"/>
      <c r="AQ864" s="307"/>
      <c r="AR864" s="307"/>
      <c r="AU864" s="306"/>
      <c r="AV864" s="306"/>
      <c r="AW864" s="307"/>
      <c r="AX864" s="306"/>
      <c r="AY864" s="306"/>
      <c r="AZ864" s="306"/>
      <c r="BA864" s="306"/>
      <c r="BB864" s="306"/>
      <c r="BC864" s="306"/>
      <c r="BD864" s="306"/>
    </row>
    <row r="865" spans="7:56" s="302" customFormat="1" ht="11.75" customHeight="1" x14ac:dyDescent="0.15">
      <c r="G865" s="300"/>
      <c r="H865" s="301"/>
      <c r="I865" s="301"/>
      <c r="J865" s="301"/>
      <c r="K865" s="301"/>
      <c r="L865" s="301"/>
      <c r="M865" s="301"/>
      <c r="N865" s="301"/>
      <c r="O865" s="301"/>
      <c r="P865" s="301"/>
      <c r="Q865" s="301"/>
      <c r="R865" s="301"/>
      <c r="S865" s="301"/>
      <c r="T865" s="301"/>
      <c r="U865" s="301"/>
      <c r="V865" s="301"/>
      <c r="W865" s="301"/>
      <c r="X865" s="301"/>
      <c r="Y865" s="301"/>
      <c r="Z865" s="301"/>
      <c r="AA865" s="301"/>
      <c r="AB865" s="301"/>
      <c r="AC865" s="301"/>
      <c r="AD865" s="301"/>
      <c r="AE865" s="301"/>
      <c r="AH865" s="306"/>
      <c r="AI865" s="306"/>
      <c r="AJ865" s="307"/>
      <c r="AK865" s="307"/>
      <c r="AL865" s="307"/>
      <c r="AM865" s="307"/>
      <c r="AN865" s="307"/>
      <c r="AO865" s="307"/>
      <c r="AP865" s="307"/>
      <c r="AQ865" s="307"/>
      <c r="AR865" s="307"/>
      <c r="AU865" s="306"/>
      <c r="AV865" s="306"/>
      <c r="AW865" s="307"/>
      <c r="AX865" s="306"/>
      <c r="AY865" s="306"/>
      <c r="AZ865" s="306"/>
      <c r="BA865" s="306"/>
      <c r="BB865" s="306"/>
      <c r="BC865" s="306"/>
      <c r="BD865" s="306"/>
    </row>
    <row r="866" spans="7:56" s="302" customFormat="1" ht="11.75" customHeight="1" x14ac:dyDescent="0.15">
      <c r="G866" s="300"/>
      <c r="H866" s="301"/>
      <c r="I866" s="301"/>
      <c r="J866" s="301"/>
      <c r="K866" s="301"/>
      <c r="L866" s="301"/>
      <c r="M866" s="301"/>
      <c r="N866" s="301"/>
      <c r="O866" s="301"/>
      <c r="P866" s="301"/>
      <c r="Q866" s="301"/>
      <c r="R866" s="301"/>
      <c r="S866" s="301"/>
      <c r="T866" s="301"/>
      <c r="U866" s="301"/>
      <c r="V866" s="301"/>
      <c r="W866" s="301"/>
      <c r="X866" s="301"/>
      <c r="Y866" s="301"/>
      <c r="Z866" s="301"/>
      <c r="AA866" s="301"/>
      <c r="AB866" s="301"/>
      <c r="AC866" s="301"/>
      <c r="AD866" s="301"/>
      <c r="AE866" s="301"/>
      <c r="AH866" s="306"/>
      <c r="AI866" s="306"/>
      <c r="AJ866" s="307"/>
      <c r="AK866" s="307"/>
      <c r="AL866" s="307"/>
      <c r="AM866" s="307"/>
      <c r="AN866" s="307"/>
      <c r="AO866" s="307"/>
      <c r="AP866" s="307"/>
      <c r="AQ866" s="307"/>
      <c r="AR866" s="307"/>
      <c r="AU866" s="306"/>
      <c r="AV866" s="306"/>
      <c r="AW866" s="307"/>
      <c r="AX866" s="306"/>
      <c r="AY866" s="306"/>
      <c r="AZ866" s="306"/>
      <c r="BA866" s="306"/>
      <c r="BB866" s="306"/>
      <c r="BC866" s="306"/>
      <c r="BD866" s="306"/>
    </row>
    <row r="867" spans="7:56" s="302" customFormat="1" ht="11.75" customHeight="1" x14ac:dyDescent="0.15">
      <c r="G867" s="300"/>
      <c r="H867" s="301"/>
      <c r="I867" s="301"/>
      <c r="J867" s="301"/>
      <c r="K867" s="301"/>
      <c r="L867" s="301"/>
      <c r="M867" s="301"/>
      <c r="N867" s="301"/>
      <c r="O867" s="301"/>
      <c r="P867" s="301"/>
      <c r="Q867" s="301"/>
      <c r="R867" s="301"/>
      <c r="S867" s="301"/>
      <c r="T867" s="301"/>
      <c r="U867" s="301"/>
      <c r="V867" s="301"/>
      <c r="W867" s="301"/>
      <c r="X867" s="301"/>
      <c r="Y867" s="301"/>
      <c r="Z867" s="301"/>
      <c r="AA867" s="301"/>
      <c r="AB867" s="301"/>
      <c r="AC867" s="301"/>
      <c r="AD867" s="301"/>
      <c r="AE867" s="301"/>
      <c r="AH867" s="306"/>
      <c r="AI867" s="306"/>
      <c r="AJ867" s="307"/>
      <c r="AK867" s="316"/>
      <c r="AL867" s="316"/>
      <c r="AM867" s="316"/>
      <c r="AN867" s="316"/>
      <c r="AO867" s="316"/>
      <c r="AP867" s="316"/>
      <c r="AQ867" s="316"/>
      <c r="AR867" s="316"/>
      <c r="AU867" s="306"/>
      <c r="AV867" s="306"/>
      <c r="AW867" s="307"/>
      <c r="AX867" s="306"/>
      <c r="AY867" s="306"/>
      <c r="AZ867" s="306"/>
      <c r="BA867" s="306"/>
      <c r="BB867" s="306"/>
      <c r="BC867" s="306"/>
      <c r="BD867" s="306"/>
    </row>
    <row r="868" spans="7:56" s="302" customFormat="1" ht="11.75" customHeight="1" x14ac:dyDescent="0.15">
      <c r="G868" s="300"/>
      <c r="H868" s="301"/>
      <c r="I868" s="301"/>
      <c r="J868" s="301"/>
      <c r="K868" s="301"/>
      <c r="L868" s="301"/>
      <c r="M868" s="301"/>
      <c r="N868" s="301"/>
      <c r="O868" s="301"/>
      <c r="P868" s="301"/>
      <c r="Q868" s="301"/>
      <c r="R868" s="301"/>
      <c r="S868" s="301"/>
      <c r="T868" s="301"/>
      <c r="U868" s="301"/>
      <c r="V868" s="301"/>
      <c r="W868" s="301"/>
      <c r="X868" s="301"/>
      <c r="Y868" s="301"/>
      <c r="Z868" s="301"/>
      <c r="AA868" s="301"/>
      <c r="AB868" s="301"/>
      <c r="AC868" s="301"/>
      <c r="AD868" s="301"/>
      <c r="AE868" s="301"/>
      <c r="AH868" s="306"/>
      <c r="AI868" s="306"/>
      <c r="AJ868" s="307"/>
      <c r="AK868" s="307"/>
      <c r="AL868" s="307"/>
      <c r="AM868" s="307"/>
      <c r="AN868" s="307"/>
      <c r="AO868" s="307"/>
      <c r="AP868" s="307"/>
      <c r="AQ868" s="307"/>
      <c r="AR868" s="307"/>
      <c r="AU868" s="306"/>
      <c r="AV868" s="306"/>
      <c r="AW868" s="307"/>
      <c r="AX868" s="306"/>
      <c r="AY868" s="306"/>
      <c r="AZ868" s="306"/>
      <c r="BA868" s="306"/>
      <c r="BB868" s="306"/>
      <c r="BC868" s="306"/>
      <c r="BD868" s="306"/>
    </row>
    <row r="869" spans="7:56" s="302" customFormat="1" ht="11.75" customHeight="1" x14ac:dyDescent="0.15">
      <c r="G869" s="300"/>
      <c r="H869" s="301"/>
      <c r="I869" s="301"/>
      <c r="J869" s="301"/>
      <c r="K869" s="301"/>
      <c r="L869" s="301"/>
      <c r="M869" s="301"/>
      <c r="N869" s="301"/>
      <c r="O869" s="301"/>
      <c r="P869" s="301"/>
      <c r="Q869" s="301"/>
      <c r="R869" s="301"/>
      <c r="S869" s="301"/>
      <c r="T869" s="301"/>
      <c r="U869" s="301"/>
      <c r="V869" s="301"/>
      <c r="W869" s="301"/>
      <c r="X869" s="301"/>
      <c r="Y869" s="301"/>
      <c r="Z869" s="301"/>
      <c r="AA869" s="301"/>
      <c r="AB869" s="301"/>
      <c r="AC869" s="301"/>
      <c r="AD869" s="301"/>
      <c r="AE869" s="301"/>
      <c r="AH869" s="306"/>
      <c r="AI869" s="306"/>
      <c r="AJ869" s="307"/>
      <c r="AK869" s="307"/>
      <c r="AL869" s="307"/>
      <c r="AM869" s="307"/>
      <c r="AN869" s="307"/>
      <c r="AO869" s="307"/>
      <c r="AP869" s="307"/>
      <c r="AQ869" s="307"/>
      <c r="AR869" s="307"/>
      <c r="AU869" s="306"/>
      <c r="AV869" s="306"/>
      <c r="AW869" s="307"/>
      <c r="AX869" s="306"/>
      <c r="AY869" s="306"/>
      <c r="AZ869" s="306"/>
      <c r="BA869" s="306"/>
      <c r="BB869" s="306"/>
      <c r="BC869" s="306"/>
      <c r="BD869" s="306"/>
    </row>
    <row r="870" spans="7:56" s="302" customFormat="1" ht="11.75" customHeight="1" x14ac:dyDescent="0.15">
      <c r="G870" s="300"/>
      <c r="H870" s="301"/>
      <c r="I870" s="301"/>
      <c r="J870" s="301"/>
      <c r="K870" s="301"/>
      <c r="L870" s="301"/>
      <c r="M870" s="301"/>
      <c r="N870" s="301"/>
      <c r="O870" s="301"/>
      <c r="P870" s="301"/>
      <c r="Q870" s="301"/>
      <c r="R870" s="301"/>
      <c r="S870" s="301"/>
      <c r="T870" s="301"/>
      <c r="U870" s="301"/>
      <c r="V870" s="301"/>
      <c r="W870" s="301"/>
      <c r="X870" s="301"/>
      <c r="Y870" s="301"/>
      <c r="Z870" s="301"/>
      <c r="AA870" s="301"/>
      <c r="AB870" s="301"/>
      <c r="AC870" s="301"/>
      <c r="AD870" s="301"/>
      <c r="AE870" s="301"/>
      <c r="AH870" s="327"/>
      <c r="AI870" s="306"/>
      <c r="AJ870" s="307"/>
      <c r="AK870" s="307"/>
      <c r="AL870" s="307"/>
      <c r="AM870" s="307"/>
      <c r="AN870" s="307"/>
      <c r="AO870" s="307"/>
      <c r="AP870" s="307"/>
      <c r="AQ870" s="307"/>
      <c r="AR870" s="307"/>
      <c r="AU870" s="306"/>
      <c r="AV870" s="306"/>
      <c r="AW870" s="307"/>
      <c r="AX870" s="306"/>
      <c r="AY870" s="306"/>
      <c r="AZ870" s="306"/>
      <c r="BA870" s="306"/>
      <c r="BB870" s="306"/>
      <c r="BC870" s="306"/>
      <c r="BD870" s="306"/>
    </row>
    <row r="871" spans="7:56" s="302" customFormat="1" ht="11.75" customHeight="1" x14ac:dyDescent="0.15">
      <c r="G871" s="300"/>
      <c r="H871" s="301"/>
      <c r="I871" s="301"/>
      <c r="J871" s="301"/>
      <c r="K871" s="301"/>
      <c r="L871" s="301"/>
      <c r="M871" s="301"/>
      <c r="N871" s="301"/>
      <c r="O871" s="301"/>
      <c r="P871" s="301"/>
      <c r="Q871" s="301"/>
      <c r="R871" s="301"/>
      <c r="S871" s="301"/>
      <c r="T871" s="301"/>
      <c r="U871" s="301"/>
      <c r="V871" s="301"/>
      <c r="W871" s="301"/>
      <c r="X871" s="301"/>
      <c r="Y871" s="301"/>
      <c r="Z871" s="301"/>
      <c r="AA871" s="301"/>
      <c r="AB871" s="301"/>
      <c r="AC871" s="301"/>
      <c r="AD871" s="301"/>
      <c r="AE871" s="301"/>
      <c r="AH871" s="306"/>
      <c r="AI871" s="306"/>
      <c r="AJ871" s="307"/>
      <c r="AK871" s="307"/>
      <c r="AL871" s="307"/>
      <c r="AM871" s="307"/>
      <c r="AN871" s="307"/>
      <c r="AO871" s="307"/>
      <c r="AP871" s="307"/>
      <c r="AQ871" s="307"/>
      <c r="AR871" s="307"/>
      <c r="AU871" s="306"/>
      <c r="AV871" s="306"/>
      <c r="AW871" s="306"/>
      <c r="AX871" s="306"/>
      <c r="AY871" s="306"/>
      <c r="AZ871" s="306"/>
      <c r="BA871" s="306"/>
      <c r="BB871" s="306"/>
      <c r="BC871" s="306"/>
      <c r="BD871" s="306"/>
    </row>
    <row r="872" spans="7:56" s="302" customFormat="1" ht="11.75" customHeight="1" x14ac:dyDescent="0.15">
      <c r="G872" s="300"/>
      <c r="H872" s="301"/>
      <c r="I872" s="301"/>
      <c r="J872" s="301"/>
      <c r="K872" s="301"/>
      <c r="L872" s="301"/>
      <c r="M872" s="301"/>
      <c r="N872" s="301"/>
      <c r="O872" s="301"/>
      <c r="P872" s="301"/>
      <c r="Q872" s="301"/>
      <c r="R872" s="301"/>
      <c r="S872" s="301"/>
      <c r="T872" s="301"/>
      <c r="U872" s="301"/>
      <c r="V872" s="301"/>
      <c r="W872" s="301"/>
      <c r="X872" s="301"/>
      <c r="Y872" s="301"/>
      <c r="Z872" s="301"/>
      <c r="AA872" s="301"/>
      <c r="AB872" s="301"/>
      <c r="AC872" s="301"/>
      <c r="AD872" s="301"/>
      <c r="AE872" s="301"/>
      <c r="AH872" s="306"/>
      <c r="AI872" s="306"/>
      <c r="AJ872" s="307"/>
      <c r="AK872" s="307"/>
      <c r="AL872" s="307"/>
      <c r="AM872" s="307"/>
      <c r="AN872" s="307"/>
      <c r="AO872" s="307"/>
      <c r="AP872" s="307"/>
      <c r="AQ872" s="307"/>
      <c r="AR872" s="307"/>
      <c r="AU872" s="306"/>
      <c r="AV872" s="306"/>
      <c r="AW872" s="306"/>
      <c r="AX872" s="306"/>
      <c r="AY872" s="306"/>
      <c r="AZ872" s="306"/>
      <c r="BA872" s="306"/>
      <c r="BB872" s="306"/>
      <c r="BC872" s="306"/>
      <c r="BD872" s="306"/>
    </row>
    <row r="873" spans="7:56" s="302" customFormat="1" ht="11.75" customHeight="1" x14ac:dyDescent="0.15">
      <c r="G873" s="300"/>
      <c r="H873" s="301"/>
      <c r="I873" s="301"/>
      <c r="J873" s="301"/>
      <c r="K873" s="301"/>
      <c r="L873" s="301"/>
      <c r="M873" s="301"/>
      <c r="N873" s="301"/>
      <c r="O873" s="301"/>
      <c r="P873" s="301"/>
      <c r="Q873" s="301"/>
      <c r="R873" s="301"/>
      <c r="S873" s="301"/>
      <c r="T873" s="301"/>
      <c r="U873" s="301"/>
      <c r="V873" s="301"/>
      <c r="W873" s="301"/>
      <c r="X873" s="301"/>
      <c r="Y873" s="301"/>
      <c r="Z873" s="301"/>
      <c r="AA873" s="301"/>
      <c r="AB873" s="301"/>
      <c r="AC873" s="301"/>
      <c r="AD873" s="301"/>
      <c r="AE873" s="301"/>
      <c r="AH873" s="306"/>
      <c r="AI873" s="306"/>
      <c r="AJ873" s="307"/>
      <c r="AK873" s="316"/>
      <c r="AL873" s="316"/>
      <c r="AM873" s="316"/>
      <c r="AN873" s="316"/>
      <c r="AO873" s="316"/>
      <c r="AP873" s="316"/>
      <c r="AQ873" s="316"/>
      <c r="AR873" s="316"/>
      <c r="AU873" s="306"/>
      <c r="AV873" s="306"/>
      <c r="AW873" s="306"/>
      <c r="AX873" s="306"/>
      <c r="AY873" s="306"/>
      <c r="AZ873" s="306"/>
      <c r="BA873" s="306"/>
      <c r="BB873" s="306"/>
      <c r="BC873" s="306"/>
      <c r="BD873" s="306"/>
    </row>
    <row r="874" spans="7:56" s="302" customFormat="1" ht="11.75" customHeight="1" x14ac:dyDescent="0.15">
      <c r="G874" s="300"/>
      <c r="H874" s="301"/>
      <c r="I874" s="301"/>
      <c r="J874" s="301"/>
      <c r="K874" s="301"/>
      <c r="L874" s="301"/>
      <c r="M874" s="301"/>
      <c r="N874" s="301"/>
      <c r="O874" s="301"/>
      <c r="P874" s="301"/>
      <c r="Q874" s="301"/>
      <c r="R874" s="301"/>
      <c r="S874" s="301"/>
      <c r="T874" s="301"/>
      <c r="U874" s="301"/>
      <c r="V874" s="301"/>
      <c r="W874" s="301"/>
      <c r="X874" s="301"/>
      <c r="Y874" s="301"/>
      <c r="Z874" s="301"/>
      <c r="AA874" s="301"/>
      <c r="AB874" s="301"/>
      <c r="AC874" s="301"/>
      <c r="AD874" s="301"/>
      <c r="AE874" s="301"/>
      <c r="AH874" s="306"/>
      <c r="AI874" s="306"/>
      <c r="AJ874" s="307"/>
      <c r="AK874" s="307"/>
      <c r="AL874" s="307"/>
      <c r="AM874" s="307"/>
      <c r="AN874" s="307"/>
      <c r="AO874" s="307"/>
      <c r="AP874" s="307"/>
      <c r="AQ874" s="307"/>
      <c r="AR874" s="307"/>
      <c r="AU874" s="306"/>
      <c r="AV874" s="306"/>
      <c r="AW874" s="306"/>
      <c r="AX874" s="306"/>
      <c r="AY874" s="306"/>
      <c r="AZ874" s="306"/>
      <c r="BA874" s="306"/>
      <c r="BB874" s="306"/>
      <c r="BC874" s="306"/>
      <c r="BD874" s="306"/>
    </row>
    <row r="875" spans="7:56" s="302" customFormat="1" ht="11.75" customHeight="1" x14ac:dyDescent="0.15">
      <c r="G875" s="300"/>
      <c r="H875" s="301"/>
      <c r="I875" s="301"/>
      <c r="J875" s="301"/>
      <c r="K875" s="301"/>
      <c r="L875" s="301"/>
      <c r="M875" s="301"/>
      <c r="N875" s="301"/>
      <c r="O875" s="301"/>
      <c r="P875" s="301"/>
      <c r="Q875" s="301"/>
      <c r="R875" s="301"/>
      <c r="S875" s="301"/>
      <c r="T875" s="301"/>
      <c r="U875" s="301"/>
      <c r="V875" s="301"/>
      <c r="W875" s="301"/>
      <c r="X875" s="301"/>
      <c r="Y875" s="301"/>
      <c r="Z875" s="301"/>
      <c r="AA875" s="301"/>
      <c r="AB875" s="301"/>
      <c r="AC875" s="301"/>
      <c r="AD875" s="301"/>
      <c r="AE875" s="301"/>
      <c r="AH875" s="327"/>
      <c r="AI875" s="306"/>
      <c r="AJ875" s="307"/>
      <c r="AK875" s="307"/>
      <c r="AL875" s="307"/>
      <c r="AM875" s="307"/>
      <c r="AN875" s="307"/>
      <c r="AO875" s="307"/>
      <c r="AP875" s="307"/>
      <c r="AQ875" s="307"/>
      <c r="AR875" s="307"/>
      <c r="AU875" s="306"/>
      <c r="AV875" s="306"/>
      <c r="AW875" s="306"/>
      <c r="AX875" s="306"/>
      <c r="AY875" s="306"/>
      <c r="AZ875" s="306"/>
      <c r="BA875" s="306"/>
      <c r="BB875" s="306"/>
      <c r="BC875" s="306"/>
      <c r="BD875" s="306"/>
    </row>
    <row r="876" spans="7:56" s="302" customFormat="1" ht="11.75" customHeight="1" x14ac:dyDescent="0.15">
      <c r="G876" s="300"/>
      <c r="H876" s="301"/>
      <c r="I876" s="301"/>
      <c r="J876" s="301"/>
      <c r="K876" s="301"/>
      <c r="L876" s="301"/>
      <c r="M876" s="301"/>
      <c r="N876" s="301"/>
      <c r="O876" s="301"/>
      <c r="P876" s="301"/>
      <c r="Q876" s="301"/>
      <c r="R876" s="301"/>
      <c r="S876" s="301"/>
      <c r="T876" s="301"/>
      <c r="U876" s="301"/>
      <c r="V876" s="301"/>
      <c r="W876" s="301"/>
      <c r="X876" s="301"/>
      <c r="Y876" s="301"/>
      <c r="Z876" s="301"/>
      <c r="AA876" s="301"/>
      <c r="AB876" s="301"/>
      <c r="AC876" s="301"/>
      <c r="AD876" s="301"/>
      <c r="AE876" s="301"/>
      <c r="AH876" s="327"/>
      <c r="AI876" s="306"/>
      <c r="AJ876" s="307"/>
      <c r="AK876" s="307"/>
      <c r="AL876" s="307"/>
      <c r="AM876" s="307"/>
      <c r="AN876" s="307"/>
      <c r="AO876" s="307"/>
      <c r="AP876" s="307"/>
      <c r="AQ876" s="307"/>
      <c r="AR876" s="307"/>
      <c r="AU876" s="306"/>
      <c r="AV876" s="306"/>
      <c r="AW876" s="306"/>
      <c r="AX876" s="306"/>
      <c r="AY876" s="306"/>
      <c r="AZ876" s="306"/>
      <c r="BA876" s="306"/>
      <c r="BB876" s="306"/>
      <c r="BC876" s="306"/>
      <c r="BD876" s="306"/>
    </row>
    <row r="877" spans="7:56" s="302" customFormat="1" ht="11.75" customHeight="1" x14ac:dyDescent="0.15">
      <c r="G877" s="300"/>
      <c r="H877" s="301"/>
      <c r="I877" s="301"/>
      <c r="J877" s="301"/>
      <c r="K877" s="301"/>
      <c r="L877" s="301"/>
      <c r="M877" s="301"/>
      <c r="N877" s="301"/>
      <c r="O877" s="301"/>
      <c r="P877" s="301"/>
      <c r="Q877" s="301"/>
      <c r="R877" s="301"/>
      <c r="S877" s="301"/>
      <c r="T877" s="301"/>
      <c r="U877" s="301"/>
      <c r="V877" s="301"/>
      <c r="W877" s="301"/>
      <c r="X877" s="301"/>
      <c r="Y877" s="301"/>
      <c r="Z877" s="301"/>
      <c r="AA877" s="301"/>
      <c r="AB877" s="301"/>
      <c r="AC877" s="301"/>
      <c r="AD877" s="301"/>
      <c r="AE877" s="301"/>
      <c r="AH877" s="306"/>
      <c r="AI877" s="306"/>
      <c r="AJ877" s="307"/>
      <c r="AK877" s="307"/>
      <c r="AL877" s="307"/>
      <c r="AM877" s="307"/>
      <c r="AN877" s="307"/>
      <c r="AO877" s="307"/>
      <c r="AP877" s="307"/>
      <c r="AQ877" s="307"/>
      <c r="AR877" s="307"/>
      <c r="AU877" s="306"/>
      <c r="AV877" s="306"/>
      <c r="AW877" s="306"/>
      <c r="AX877" s="306"/>
      <c r="AY877" s="306"/>
      <c r="AZ877" s="306"/>
      <c r="BA877" s="306"/>
      <c r="BB877" s="306"/>
      <c r="BC877" s="306"/>
      <c r="BD877" s="306"/>
    </row>
    <row r="878" spans="7:56" s="302" customFormat="1" ht="11.75" customHeight="1" x14ac:dyDescent="0.15">
      <c r="G878" s="300"/>
      <c r="H878" s="301"/>
      <c r="I878" s="301"/>
      <c r="J878" s="301"/>
      <c r="K878" s="301"/>
      <c r="L878" s="301"/>
      <c r="M878" s="301"/>
      <c r="N878" s="301"/>
      <c r="O878" s="301"/>
      <c r="P878" s="301"/>
      <c r="Q878" s="301"/>
      <c r="R878" s="301"/>
      <c r="S878" s="301"/>
      <c r="T878" s="301"/>
      <c r="U878" s="301"/>
      <c r="V878" s="301"/>
      <c r="W878" s="301"/>
      <c r="X878" s="301"/>
      <c r="Y878" s="301"/>
      <c r="Z878" s="301"/>
      <c r="AA878" s="301"/>
      <c r="AB878" s="301"/>
      <c r="AC878" s="301"/>
      <c r="AD878" s="301"/>
      <c r="AE878" s="301"/>
      <c r="AH878" s="306"/>
      <c r="AI878" s="306"/>
      <c r="AJ878" s="307"/>
      <c r="AK878" s="307"/>
      <c r="AL878" s="307"/>
      <c r="AM878" s="307"/>
      <c r="AN878" s="307"/>
      <c r="AO878" s="307"/>
      <c r="AP878" s="307"/>
      <c r="AQ878" s="307"/>
      <c r="AR878" s="307"/>
      <c r="AU878" s="306"/>
      <c r="AV878" s="306"/>
      <c r="AW878" s="306"/>
      <c r="AX878" s="306"/>
      <c r="AY878" s="306"/>
      <c r="AZ878" s="306"/>
      <c r="BA878" s="306"/>
      <c r="BB878" s="306"/>
      <c r="BC878" s="306"/>
      <c r="BD878" s="306"/>
    </row>
    <row r="879" spans="7:56" s="302" customFormat="1" ht="11.75" customHeight="1" x14ac:dyDescent="0.15">
      <c r="G879" s="300"/>
      <c r="H879" s="301"/>
      <c r="I879" s="301"/>
      <c r="J879" s="301"/>
      <c r="K879" s="301"/>
      <c r="L879" s="301"/>
      <c r="M879" s="301"/>
      <c r="N879" s="301"/>
      <c r="O879" s="301"/>
      <c r="P879" s="301"/>
      <c r="Q879" s="301"/>
      <c r="R879" s="301"/>
      <c r="S879" s="301"/>
      <c r="T879" s="301"/>
      <c r="U879" s="301"/>
      <c r="V879" s="301"/>
      <c r="W879" s="301"/>
      <c r="X879" s="301"/>
      <c r="Y879" s="301"/>
      <c r="Z879" s="301"/>
      <c r="AA879" s="301"/>
      <c r="AB879" s="301"/>
      <c r="AC879" s="301"/>
      <c r="AD879" s="301"/>
      <c r="AE879" s="301"/>
      <c r="AH879" s="306"/>
      <c r="AI879" s="306"/>
      <c r="AJ879" s="307"/>
      <c r="AK879" s="316"/>
      <c r="AL879" s="316"/>
      <c r="AM879" s="316"/>
      <c r="AN879" s="316"/>
      <c r="AO879" s="316"/>
      <c r="AP879" s="316"/>
      <c r="AQ879" s="316"/>
      <c r="AR879" s="316"/>
      <c r="AU879" s="306"/>
      <c r="AV879" s="306"/>
      <c r="AW879" s="306"/>
      <c r="AX879" s="306"/>
      <c r="AY879" s="306"/>
      <c r="AZ879" s="306"/>
      <c r="BA879" s="306"/>
      <c r="BB879" s="306"/>
      <c r="BC879" s="306"/>
      <c r="BD879" s="306"/>
    </row>
    <row r="880" spans="7:56" s="302" customFormat="1" ht="11.75" customHeight="1" x14ac:dyDescent="0.15">
      <c r="G880" s="300"/>
      <c r="H880" s="301"/>
      <c r="I880" s="301"/>
      <c r="J880" s="301"/>
      <c r="K880" s="301"/>
      <c r="L880" s="301"/>
      <c r="M880" s="301"/>
      <c r="N880" s="301"/>
      <c r="O880" s="301"/>
      <c r="P880" s="301"/>
      <c r="Q880" s="301"/>
      <c r="R880" s="301"/>
      <c r="S880" s="301"/>
      <c r="T880" s="301"/>
      <c r="U880" s="301"/>
      <c r="V880" s="301"/>
      <c r="W880" s="301"/>
      <c r="X880" s="301"/>
      <c r="Y880" s="301"/>
      <c r="Z880" s="301"/>
      <c r="AA880" s="301"/>
      <c r="AB880" s="301"/>
      <c r="AC880" s="301"/>
      <c r="AD880" s="301"/>
      <c r="AE880" s="301"/>
      <c r="AH880" s="306"/>
      <c r="AI880" s="306"/>
      <c r="AJ880" s="307"/>
      <c r="AK880" s="307"/>
      <c r="AL880" s="307"/>
      <c r="AM880" s="307"/>
      <c r="AN880" s="307"/>
      <c r="AO880" s="307"/>
      <c r="AP880" s="307"/>
      <c r="AQ880" s="307"/>
      <c r="AR880" s="307"/>
    </row>
    <row r="881" spans="7:44" s="302" customFormat="1" ht="11.75" customHeight="1" x14ac:dyDescent="0.15">
      <c r="G881" s="300"/>
      <c r="H881" s="301"/>
      <c r="I881" s="301"/>
      <c r="J881" s="301"/>
      <c r="K881" s="301"/>
      <c r="L881" s="301"/>
      <c r="M881" s="301"/>
      <c r="N881" s="301"/>
      <c r="O881" s="301"/>
      <c r="P881" s="301"/>
      <c r="Q881" s="301"/>
      <c r="R881" s="301"/>
      <c r="S881" s="301"/>
      <c r="T881" s="301"/>
      <c r="U881" s="301"/>
      <c r="V881" s="301"/>
      <c r="W881" s="301"/>
      <c r="X881" s="301"/>
      <c r="Y881" s="301"/>
      <c r="Z881" s="301"/>
      <c r="AA881" s="301"/>
      <c r="AB881" s="301"/>
      <c r="AC881" s="301"/>
      <c r="AD881" s="301"/>
      <c r="AE881" s="301"/>
      <c r="AH881" s="306"/>
      <c r="AI881" s="306"/>
      <c r="AJ881" s="307"/>
      <c r="AK881" s="307"/>
      <c r="AL881" s="307"/>
      <c r="AM881" s="307"/>
      <c r="AN881" s="307"/>
      <c r="AO881" s="307"/>
      <c r="AP881" s="307"/>
      <c r="AQ881" s="307"/>
      <c r="AR881" s="307"/>
    </row>
    <row r="882" spans="7:44" s="302" customFormat="1" ht="11.75" customHeight="1" x14ac:dyDescent="0.15">
      <c r="G882" s="300"/>
      <c r="H882" s="301"/>
      <c r="I882" s="301"/>
      <c r="J882" s="301"/>
      <c r="K882" s="301"/>
      <c r="L882" s="301"/>
      <c r="M882" s="301"/>
      <c r="N882" s="301"/>
      <c r="O882" s="301"/>
      <c r="P882" s="301"/>
      <c r="Q882" s="301"/>
      <c r="R882" s="301"/>
      <c r="S882" s="301"/>
      <c r="T882" s="301"/>
      <c r="U882" s="301"/>
      <c r="V882" s="301"/>
      <c r="W882" s="301"/>
      <c r="X882" s="301"/>
      <c r="Y882" s="301"/>
      <c r="Z882" s="301"/>
      <c r="AA882" s="301"/>
      <c r="AB882" s="301"/>
      <c r="AC882" s="301"/>
      <c r="AD882" s="301"/>
      <c r="AE882" s="301"/>
      <c r="AH882" s="327"/>
      <c r="AI882" s="306"/>
      <c r="AJ882" s="307"/>
      <c r="AK882" s="307"/>
      <c r="AL882" s="307"/>
      <c r="AM882" s="307"/>
      <c r="AN882" s="307"/>
      <c r="AO882" s="307"/>
      <c r="AP882" s="307"/>
      <c r="AQ882" s="307"/>
      <c r="AR882" s="307"/>
    </row>
    <row r="883" spans="7:44" s="302" customFormat="1" ht="11.75" customHeight="1" x14ac:dyDescent="0.15">
      <c r="G883" s="300"/>
      <c r="H883" s="301"/>
      <c r="I883" s="301"/>
      <c r="J883" s="301"/>
      <c r="K883" s="301"/>
      <c r="L883" s="301"/>
      <c r="M883" s="301"/>
      <c r="N883" s="301"/>
      <c r="O883" s="301"/>
      <c r="P883" s="301"/>
      <c r="Q883" s="301"/>
      <c r="R883" s="301"/>
      <c r="S883" s="301"/>
      <c r="T883" s="301"/>
      <c r="U883" s="301"/>
      <c r="V883" s="301"/>
      <c r="W883" s="301"/>
      <c r="X883" s="301"/>
      <c r="Y883" s="301"/>
      <c r="Z883" s="301"/>
      <c r="AA883" s="301"/>
      <c r="AB883" s="301"/>
      <c r="AC883" s="301"/>
      <c r="AD883" s="301"/>
      <c r="AE883" s="301"/>
      <c r="AH883" s="306"/>
      <c r="AI883" s="306"/>
      <c r="AJ883" s="307"/>
      <c r="AK883" s="307"/>
      <c r="AL883" s="307"/>
      <c r="AM883" s="307"/>
      <c r="AN883" s="307"/>
      <c r="AO883" s="307"/>
      <c r="AP883" s="307"/>
      <c r="AQ883" s="307"/>
      <c r="AR883" s="307"/>
    </row>
    <row r="884" spans="7:44" s="302" customFormat="1" ht="11.75" customHeight="1" x14ac:dyDescent="0.15">
      <c r="G884" s="300"/>
      <c r="H884" s="301"/>
      <c r="I884" s="301"/>
      <c r="J884" s="301"/>
      <c r="K884" s="301"/>
      <c r="L884" s="301"/>
      <c r="M884" s="301"/>
      <c r="N884" s="301"/>
      <c r="O884" s="301"/>
      <c r="P884" s="301"/>
      <c r="Q884" s="301"/>
      <c r="R884" s="301"/>
      <c r="S884" s="301"/>
      <c r="T884" s="301"/>
      <c r="U884" s="301"/>
      <c r="V884" s="301"/>
      <c r="W884" s="301"/>
      <c r="X884" s="301"/>
      <c r="Y884" s="301"/>
      <c r="Z884" s="301"/>
      <c r="AA884" s="301"/>
      <c r="AB884" s="301"/>
      <c r="AC884" s="301"/>
      <c r="AD884" s="301"/>
      <c r="AE884" s="301"/>
      <c r="AH884" s="306"/>
      <c r="AI884" s="306"/>
      <c r="AJ884" s="307"/>
      <c r="AK884" s="307"/>
      <c r="AL884" s="307"/>
      <c r="AM884" s="307"/>
      <c r="AN884" s="307"/>
      <c r="AO884" s="307"/>
      <c r="AP884" s="307"/>
      <c r="AQ884" s="307"/>
      <c r="AR884" s="307"/>
    </row>
    <row r="885" spans="7:44" s="302" customFormat="1" ht="11.75" customHeight="1" x14ac:dyDescent="0.15">
      <c r="G885" s="300"/>
      <c r="H885" s="301"/>
      <c r="I885" s="301"/>
      <c r="J885" s="301"/>
      <c r="K885" s="301"/>
      <c r="L885" s="301"/>
      <c r="M885" s="301"/>
      <c r="N885" s="301"/>
      <c r="O885" s="301"/>
      <c r="P885" s="301"/>
      <c r="Q885" s="301"/>
      <c r="R885" s="301"/>
      <c r="S885" s="301"/>
      <c r="T885" s="301"/>
      <c r="U885" s="301"/>
      <c r="V885" s="301"/>
      <c r="W885" s="301"/>
      <c r="X885" s="301"/>
      <c r="Y885" s="301"/>
      <c r="Z885" s="301"/>
      <c r="AA885" s="301"/>
      <c r="AB885" s="301"/>
      <c r="AC885" s="301"/>
      <c r="AD885" s="301"/>
      <c r="AE885" s="301"/>
      <c r="AH885" s="306"/>
      <c r="AI885" s="306"/>
      <c r="AJ885" s="307"/>
      <c r="AK885" s="316"/>
      <c r="AL885" s="316"/>
      <c r="AM885" s="316"/>
      <c r="AN885" s="316"/>
      <c r="AO885" s="316"/>
      <c r="AP885" s="316"/>
      <c r="AQ885" s="316"/>
      <c r="AR885" s="316"/>
    </row>
    <row r="886" spans="7:44" s="302" customFormat="1" ht="11.75" customHeight="1" x14ac:dyDescent="0.15">
      <c r="G886" s="300"/>
      <c r="H886" s="301"/>
      <c r="I886" s="301"/>
      <c r="J886" s="301"/>
      <c r="K886" s="301"/>
      <c r="L886" s="301"/>
      <c r="M886" s="301"/>
      <c r="N886" s="301"/>
      <c r="O886" s="301"/>
      <c r="P886" s="301"/>
      <c r="Q886" s="301"/>
      <c r="R886" s="301"/>
      <c r="S886" s="301"/>
      <c r="T886" s="301"/>
      <c r="U886" s="301"/>
      <c r="V886" s="301"/>
      <c r="W886" s="301"/>
      <c r="X886" s="301"/>
      <c r="Y886" s="301"/>
      <c r="Z886" s="301"/>
      <c r="AA886" s="301"/>
      <c r="AB886" s="301"/>
      <c r="AC886" s="301"/>
      <c r="AD886" s="301"/>
      <c r="AE886" s="301"/>
      <c r="AH886" s="306"/>
      <c r="AI886" s="306"/>
      <c r="AJ886" s="307"/>
      <c r="AK886" s="307"/>
      <c r="AL886" s="307"/>
      <c r="AM886" s="307"/>
      <c r="AN886" s="307"/>
      <c r="AO886" s="307"/>
      <c r="AP886" s="307"/>
      <c r="AQ886" s="307"/>
      <c r="AR886" s="307"/>
    </row>
    <row r="887" spans="7:44" s="302" customFormat="1" ht="11.75" customHeight="1" x14ac:dyDescent="0.15">
      <c r="G887" s="300"/>
      <c r="H887" s="301"/>
      <c r="I887" s="301"/>
      <c r="J887" s="301"/>
      <c r="K887" s="301"/>
      <c r="L887" s="301"/>
      <c r="M887" s="301"/>
      <c r="N887" s="301"/>
      <c r="O887" s="301"/>
      <c r="P887" s="301"/>
      <c r="Q887" s="301"/>
      <c r="R887" s="301"/>
      <c r="S887" s="301"/>
      <c r="T887" s="301"/>
      <c r="U887" s="301"/>
      <c r="V887" s="301"/>
      <c r="W887" s="301"/>
      <c r="X887" s="301"/>
      <c r="Y887" s="301"/>
      <c r="Z887" s="301"/>
      <c r="AA887" s="301"/>
      <c r="AB887" s="301"/>
      <c r="AC887" s="301"/>
      <c r="AD887" s="301"/>
      <c r="AE887" s="301"/>
      <c r="AH887" s="306"/>
      <c r="AI887" s="306"/>
      <c r="AJ887" s="307"/>
      <c r="AK887" s="307"/>
      <c r="AL887" s="307"/>
      <c r="AM887" s="307"/>
      <c r="AN887" s="307"/>
      <c r="AO887" s="307"/>
      <c r="AP887" s="307"/>
      <c r="AQ887" s="307"/>
      <c r="AR887" s="307"/>
    </row>
    <row r="888" spans="7:44" s="302" customFormat="1" ht="11.75" customHeight="1" x14ac:dyDescent="0.15">
      <c r="G888" s="300"/>
      <c r="H888" s="301"/>
      <c r="I888" s="301"/>
      <c r="J888" s="301"/>
      <c r="K888" s="301"/>
      <c r="L888" s="301"/>
      <c r="M888" s="301"/>
      <c r="N888" s="301"/>
      <c r="O888" s="301"/>
      <c r="P888" s="301"/>
      <c r="Q888" s="301"/>
      <c r="R888" s="301"/>
      <c r="S888" s="301"/>
      <c r="T888" s="301"/>
      <c r="U888" s="301"/>
      <c r="V888" s="301"/>
      <c r="W888" s="301"/>
      <c r="X888" s="301"/>
      <c r="Y888" s="301"/>
      <c r="Z888" s="301"/>
      <c r="AA888" s="301"/>
      <c r="AB888" s="301"/>
      <c r="AC888" s="301"/>
      <c r="AD888" s="301"/>
      <c r="AE888" s="301"/>
      <c r="AH888" s="327"/>
      <c r="AI888" s="306"/>
      <c r="AJ888" s="307"/>
      <c r="AK888" s="316"/>
      <c r="AL888" s="330"/>
      <c r="AM888" s="330"/>
      <c r="AN888" s="330"/>
      <c r="AO888" s="330"/>
      <c r="AP888" s="330"/>
      <c r="AQ888" s="330"/>
      <c r="AR888" s="330"/>
    </row>
    <row r="889" spans="7:44" s="302" customFormat="1" ht="11.75" customHeight="1" x14ac:dyDescent="0.15">
      <c r="G889" s="300"/>
      <c r="H889" s="301"/>
      <c r="I889" s="301"/>
      <c r="J889" s="301"/>
      <c r="K889" s="301"/>
      <c r="L889" s="301"/>
      <c r="M889" s="301"/>
      <c r="N889" s="301"/>
      <c r="O889" s="301"/>
      <c r="P889" s="301"/>
      <c r="Q889" s="301"/>
      <c r="R889" s="301"/>
      <c r="S889" s="301"/>
      <c r="T889" s="301"/>
      <c r="U889" s="301"/>
      <c r="V889" s="301"/>
      <c r="W889" s="301"/>
      <c r="X889" s="301"/>
      <c r="Y889" s="301"/>
      <c r="Z889" s="301"/>
      <c r="AA889" s="301"/>
      <c r="AB889" s="301"/>
      <c r="AC889" s="301"/>
      <c r="AD889" s="301"/>
      <c r="AE889" s="301"/>
      <c r="AH889" s="306"/>
      <c r="AI889" s="306"/>
      <c r="AJ889" s="307"/>
      <c r="AK889" s="307"/>
      <c r="AL889" s="307"/>
      <c r="AM889" s="307"/>
      <c r="AN889" s="307"/>
      <c r="AO889" s="307"/>
      <c r="AP889" s="307"/>
      <c r="AQ889" s="307"/>
      <c r="AR889" s="307"/>
    </row>
    <row r="890" spans="7:44" s="302" customFormat="1" ht="11.75" customHeight="1" x14ac:dyDescent="0.15">
      <c r="G890" s="300"/>
      <c r="H890" s="301"/>
      <c r="I890" s="301"/>
      <c r="J890" s="301"/>
      <c r="K890" s="301"/>
      <c r="L890" s="301"/>
      <c r="M890" s="301"/>
      <c r="N890" s="301"/>
      <c r="O890" s="301"/>
      <c r="P890" s="301"/>
      <c r="Q890" s="301"/>
      <c r="R890" s="301"/>
      <c r="S890" s="301"/>
      <c r="T890" s="301"/>
      <c r="U890" s="301"/>
      <c r="V890" s="301"/>
      <c r="W890" s="301"/>
      <c r="X890" s="301"/>
      <c r="Y890" s="301"/>
      <c r="Z890" s="301"/>
      <c r="AA890" s="301"/>
      <c r="AB890" s="301"/>
      <c r="AC890" s="301"/>
      <c r="AD890" s="301"/>
      <c r="AE890" s="301"/>
      <c r="AH890" s="306"/>
      <c r="AI890" s="306"/>
      <c r="AJ890" s="307"/>
      <c r="AK890" s="307"/>
      <c r="AL890" s="307"/>
      <c r="AM890" s="307"/>
      <c r="AN890" s="307"/>
      <c r="AO890" s="307"/>
      <c r="AP890" s="307"/>
      <c r="AQ890" s="307"/>
      <c r="AR890" s="307"/>
    </row>
    <row r="891" spans="7:44" s="302" customFormat="1" ht="11.75" customHeight="1" x14ac:dyDescent="0.15">
      <c r="G891" s="300"/>
      <c r="H891" s="301"/>
      <c r="I891" s="301"/>
      <c r="J891" s="301"/>
      <c r="K891" s="301"/>
      <c r="L891" s="301"/>
      <c r="M891" s="301"/>
      <c r="N891" s="301"/>
      <c r="O891" s="301"/>
      <c r="P891" s="301"/>
      <c r="Q891" s="301"/>
      <c r="R891" s="301"/>
      <c r="S891" s="301"/>
      <c r="T891" s="301"/>
      <c r="U891" s="301"/>
      <c r="V891" s="301"/>
      <c r="W891" s="301"/>
      <c r="X891" s="301"/>
      <c r="Y891" s="301"/>
      <c r="Z891" s="301"/>
      <c r="AA891" s="301"/>
      <c r="AB891" s="301"/>
      <c r="AC891" s="301"/>
      <c r="AD891" s="301"/>
      <c r="AE891" s="301"/>
      <c r="AH891" s="306"/>
      <c r="AI891" s="306"/>
      <c r="AJ891" s="307"/>
      <c r="AK891" s="307"/>
      <c r="AL891" s="307"/>
      <c r="AM891" s="307"/>
      <c r="AN891" s="307"/>
      <c r="AO891" s="307"/>
      <c r="AP891" s="307"/>
      <c r="AQ891" s="307"/>
      <c r="AR891" s="307"/>
    </row>
    <row r="892" spans="7:44" s="302" customFormat="1" ht="11.75" customHeight="1" x14ac:dyDescent="0.15">
      <c r="G892" s="300"/>
      <c r="H892" s="301"/>
      <c r="I892" s="301"/>
      <c r="J892" s="301"/>
      <c r="K892" s="301"/>
      <c r="L892" s="301"/>
      <c r="M892" s="301"/>
      <c r="N892" s="301"/>
      <c r="O892" s="301"/>
      <c r="P892" s="301"/>
      <c r="Q892" s="301"/>
      <c r="R892" s="301"/>
      <c r="S892" s="301"/>
      <c r="T892" s="301"/>
      <c r="U892" s="301"/>
      <c r="V892" s="301"/>
      <c r="W892" s="301"/>
      <c r="X892" s="301"/>
      <c r="Y892" s="301"/>
      <c r="Z892" s="301"/>
      <c r="AA892" s="301"/>
      <c r="AB892" s="301"/>
      <c r="AC892" s="301"/>
      <c r="AD892" s="301"/>
      <c r="AE892" s="301"/>
      <c r="AH892" s="306"/>
      <c r="AI892" s="306"/>
      <c r="AJ892" s="307"/>
      <c r="AK892" s="307"/>
      <c r="AL892" s="307"/>
      <c r="AM892" s="307"/>
      <c r="AN892" s="307"/>
      <c r="AO892" s="307"/>
      <c r="AP892" s="307"/>
      <c r="AQ892" s="307"/>
      <c r="AR892" s="307"/>
    </row>
    <row r="893" spans="7:44" s="302" customFormat="1" ht="11.75" customHeight="1" x14ac:dyDescent="0.15">
      <c r="G893" s="300"/>
      <c r="H893" s="301"/>
      <c r="I893" s="301"/>
      <c r="J893" s="301"/>
      <c r="K893" s="301"/>
      <c r="L893" s="301"/>
      <c r="M893" s="301"/>
      <c r="N893" s="301"/>
      <c r="O893" s="301"/>
      <c r="P893" s="301"/>
      <c r="Q893" s="301"/>
      <c r="R893" s="301"/>
      <c r="S893" s="301"/>
      <c r="T893" s="301"/>
      <c r="U893" s="301"/>
      <c r="V893" s="301"/>
      <c r="W893" s="301"/>
      <c r="X893" s="301"/>
      <c r="Y893" s="301"/>
      <c r="Z893" s="301"/>
      <c r="AA893" s="301"/>
      <c r="AB893" s="301"/>
      <c r="AC893" s="301"/>
      <c r="AD893" s="301"/>
      <c r="AE893" s="301"/>
      <c r="AH893" s="306"/>
      <c r="AI893" s="306"/>
      <c r="AJ893" s="307"/>
      <c r="AK893" s="316"/>
      <c r="AL893" s="330"/>
      <c r="AM893" s="330"/>
      <c r="AN893" s="330"/>
      <c r="AO893" s="330"/>
      <c r="AP893" s="330"/>
      <c r="AQ893" s="330"/>
      <c r="AR893" s="330"/>
    </row>
    <row r="894" spans="7:44" s="302" customFormat="1" ht="11.75" customHeight="1" x14ac:dyDescent="0.15">
      <c r="G894" s="300"/>
      <c r="H894" s="301"/>
      <c r="I894" s="301"/>
      <c r="J894" s="301"/>
      <c r="K894" s="301"/>
      <c r="L894" s="301"/>
      <c r="M894" s="301"/>
      <c r="N894" s="301"/>
      <c r="O894" s="301"/>
      <c r="P894" s="301"/>
      <c r="Q894" s="301"/>
      <c r="R894" s="301"/>
      <c r="S894" s="301"/>
      <c r="T894" s="301"/>
      <c r="U894" s="301"/>
      <c r="V894" s="301"/>
      <c r="W894" s="301"/>
      <c r="X894" s="301"/>
      <c r="Y894" s="301"/>
      <c r="Z894" s="301"/>
      <c r="AA894" s="301"/>
      <c r="AB894" s="301"/>
      <c r="AC894" s="301"/>
      <c r="AD894" s="301"/>
      <c r="AE894" s="301"/>
      <c r="AH894" s="327"/>
      <c r="AI894" s="306"/>
      <c r="AJ894" s="307"/>
      <c r="AK894" s="307"/>
      <c r="AL894" s="307"/>
      <c r="AM894" s="307"/>
      <c r="AN894" s="307"/>
      <c r="AO894" s="307"/>
      <c r="AP894" s="307"/>
      <c r="AQ894" s="307"/>
      <c r="AR894" s="307"/>
    </row>
    <row r="895" spans="7:44" s="302" customFormat="1" ht="11.75" customHeight="1" x14ac:dyDescent="0.15">
      <c r="G895" s="300"/>
      <c r="H895" s="301"/>
      <c r="I895" s="301"/>
      <c r="J895" s="301"/>
      <c r="K895" s="301"/>
      <c r="L895" s="301"/>
      <c r="M895" s="301"/>
      <c r="N895" s="301"/>
      <c r="O895" s="301"/>
      <c r="P895" s="301"/>
      <c r="Q895" s="301"/>
      <c r="R895" s="301"/>
      <c r="S895" s="301"/>
      <c r="T895" s="301"/>
      <c r="U895" s="301"/>
      <c r="V895" s="301"/>
      <c r="W895" s="301"/>
      <c r="X895" s="301"/>
      <c r="Y895" s="301"/>
      <c r="Z895" s="301"/>
      <c r="AA895" s="301"/>
      <c r="AB895" s="301"/>
      <c r="AC895" s="301"/>
      <c r="AD895" s="301"/>
      <c r="AE895" s="301"/>
      <c r="AH895" s="306"/>
      <c r="AI895" s="306"/>
      <c r="AJ895" s="307"/>
      <c r="AK895" s="307"/>
      <c r="AL895" s="307"/>
      <c r="AM895" s="307"/>
      <c r="AN895" s="307"/>
      <c r="AO895" s="307"/>
      <c r="AP895" s="307"/>
      <c r="AQ895" s="307"/>
      <c r="AR895" s="307"/>
    </row>
    <row r="896" spans="7:44" s="302" customFormat="1" ht="11.75" customHeight="1" x14ac:dyDescent="0.15">
      <c r="G896" s="300"/>
      <c r="H896" s="301"/>
      <c r="I896" s="301"/>
      <c r="J896" s="301"/>
      <c r="K896" s="301"/>
      <c r="L896" s="301"/>
      <c r="M896" s="301"/>
      <c r="N896" s="301"/>
      <c r="O896" s="301"/>
      <c r="P896" s="301"/>
      <c r="Q896" s="301"/>
      <c r="R896" s="301"/>
      <c r="S896" s="301"/>
      <c r="T896" s="301"/>
      <c r="U896" s="301"/>
      <c r="V896" s="301"/>
      <c r="W896" s="301"/>
      <c r="X896" s="301"/>
      <c r="Y896" s="301"/>
      <c r="Z896" s="301"/>
      <c r="AA896" s="301"/>
      <c r="AB896" s="301"/>
      <c r="AC896" s="301"/>
      <c r="AD896" s="301"/>
      <c r="AE896" s="301"/>
      <c r="AH896" s="306"/>
      <c r="AI896" s="306"/>
      <c r="AJ896" s="307"/>
      <c r="AK896" s="307"/>
      <c r="AL896" s="307"/>
      <c r="AM896" s="307"/>
      <c r="AN896" s="307"/>
      <c r="AO896" s="307"/>
      <c r="AP896" s="307"/>
      <c r="AQ896" s="307"/>
      <c r="AR896" s="307"/>
    </row>
    <row r="897" spans="7:44" s="302" customFormat="1" ht="11.75" customHeight="1" x14ac:dyDescent="0.15">
      <c r="G897" s="300"/>
      <c r="H897" s="301"/>
      <c r="I897" s="301"/>
      <c r="J897" s="301"/>
      <c r="K897" s="301"/>
      <c r="L897" s="301"/>
      <c r="M897" s="301"/>
      <c r="N897" s="301"/>
      <c r="O897" s="301"/>
      <c r="P897" s="301"/>
      <c r="Q897" s="301"/>
      <c r="R897" s="301"/>
      <c r="S897" s="301"/>
      <c r="T897" s="301"/>
      <c r="U897" s="301"/>
      <c r="V897" s="301"/>
      <c r="W897" s="301"/>
      <c r="X897" s="301"/>
      <c r="Y897" s="301"/>
      <c r="Z897" s="301"/>
      <c r="AA897" s="301"/>
      <c r="AB897" s="301"/>
      <c r="AC897" s="301"/>
      <c r="AD897" s="301"/>
      <c r="AE897" s="301"/>
      <c r="AH897" s="306"/>
      <c r="AI897" s="306"/>
      <c r="AJ897" s="307"/>
      <c r="AK897" s="307"/>
      <c r="AL897" s="307"/>
      <c r="AM897" s="307"/>
      <c r="AN897" s="307"/>
      <c r="AO897" s="307"/>
      <c r="AP897" s="307"/>
      <c r="AQ897" s="307"/>
      <c r="AR897" s="307"/>
    </row>
    <row r="898" spans="7:44" s="302" customFormat="1" ht="11.75" customHeight="1" x14ac:dyDescent="0.15">
      <c r="G898" s="300"/>
      <c r="H898" s="301"/>
      <c r="I898" s="301"/>
      <c r="J898" s="301"/>
      <c r="K898" s="301"/>
      <c r="L898" s="301"/>
      <c r="M898" s="301"/>
      <c r="N898" s="301"/>
      <c r="O898" s="301"/>
      <c r="P898" s="301"/>
      <c r="Q898" s="301"/>
      <c r="R898" s="301"/>
      <c r="S898" s="301"/>
      <c r="T898" s="301"/>
      <c r="U898" s="301"/>
      <c r="V898" s="301"/>
      <c r="W898" s="301"/>
      <c r="X898" s="301"/>
      <c r="Y898" s="301"/>
      <c r="Z898" s="301"/>
      <c r="AA898" s="301"/>
      <c r="AB898" s="301"/>
      <c r="AC898" s="301"/>
      <c r="AD898" s="301"/>
      <c r="AE898" s="301"/>
      <c r="AH898" s="306"/>
      <c r="AI898" s="306"/>
      <c r="AJ898" s="307"/>
      <c r="AK898" s="316"/>
      <c r="AL898" s="316"/>
      <c r="AM898" s="316"/>
      <c r="AN898" s="316"/>
      <c r="AO898" s="316"/>
      <c r="AP898" s="316"/>
      <c r="AQ898" s="316"/>
      <c r="AR898" s="316"/>
    </row>
    <row r="899" spans="7:44" s="302" customFormat="1" ht="11.75" customHeight="1" x14ac:dyDescent="0.15">
      <c r="G899" s="300"/>
      <c r="H899" s="301"/>
      <c r="I899" s="301"/>
      <c r="J899" s="301"/>
      <c r="K899" s="301"/>
      <c r="L899" s="301"/>
      <c r="M899" s="301"/>
      <c r="N899" s="301"/>
      <c r="O899" s="301"/>
      <c r="P899" s="301"/>
      <c r="Q899" s="301"/>
      <c r="R899" s="301"/>
      <c r="S899" s="301"/>
      <c r="T899" s="301"/>
      <c r="U899" s="301"/>
      <c r="V899" s="301"/>
      <c r="W899" s="301"/>
      <c r="X899" s="301"/>
      <c r="Y899" s="301"/>
      <c r="Z899" s="301"/>
      <c r="AA899" s="301"/>
      <c r="AB899" s="301"/>
      <c r="AC899" s="301"/>
      <c r="AD899" s="301"/>
      <c r="AE899" s="301"/>
      <c r="AH899" s="306"/>
      <c r="AI899" s="306"/>
      <c r="AJ899" s="307"/>
      <c r="AK899" s="307"/>
      <c r="AL899" s="307"/>
      <c r="AM899" s="307"/>
      <c r="AN899" s="307"/>
      <c r="AO899" s="307"/>
      <c r="AP899" s="307"/>
      <c r="AQ899" s="307"/>
      <c r="AR899" s="307"/>
    </row>
    <row r="900" spans="7:44" s="302" customFormat="1" ht="11.75" customHeight="1" x14ac:dyDescent="0.15">
      <c r="G900" s="300"/>
      <c r="H900" s="301"/>
      <c r="I900" s="301"/>
      <c r="J900" s="301"/>
      <c r="K900" s="301"/>
      <c r="L900" s="301"/>
      <c r="M900" s="301"/>
      <c r="N900" s="301"/>
      <c r="O900" s="301"/>
      <c r="P900" s="301"/>
      <c r="Q900" s="301"/>
      <c r="R900" s="301"/>
      <c r="S900" s="301"/>
      <c r="T900" s="301"/>
      <c r="U900" s="301"/>
      <c r="V900" s="301"/>
      <c r="W900" s="301"/>
      <c r="X900" s="301"/>
      <c r="Y900" s="301"/>
      <c r="Z900" s="301"/>
      <c r="AA900" s="301"/>
      <c r="AB900" s="301"/>
      <c r="AC900" s="301"/>
      <c r="AD900" s="301"/>
      <c r="AE900" s="301"/>
      <c r="AH900" s="327"/>
      <c r="AI900" s="306"/>
      <c r="AJ900" s="307"/>
      <c r="AK900" s="307"/>
      <c r="AL900" s="307"/>
      <c r="AM900" s="307"/>
      <c r="AN900" s="307"/>
      <c r="AO900" s="307"/>
      <c r="AP900" s="307"/>
      <c r="AQ900" s="307"/>
      <c r="AR900" s="307"/>
    </row>
    <row r="901" spans="7:44" s="302" customFormat="1" ht="11.75" customHeight="1" x14ac:dyDescent="0.15">
      <c r="G901" s="300"/>
      <c r="H901" s="301"/>
      <c r="I901" s="301"/>
      <c r="J901" s="301"/>
      <c r="K901" s="301"/>
      <c r="L901" s="301"/>
      <c r="M901" s="301"/>
      <c r="N901" s="301"/>
      <c r="O901" s="301"/>
      <c r="P901" s="301"/>
      <c r="Q901" s="301"/>
      <c r="R901" s="301"/>
      <c r="S901" s="301"/>
      <c r="T901" s="301"/>
      <c r="U901" s="301"/>
      <c r="V901" s="301"/>
      <c r="W901" s="301"/>
      <c r="X901" s="301"/>
      <c r="Y901" s="301"/>
      <c r="Z901" s="301"/>
      <c r="AA901" s="301"/>
      <c r="AB901" s="301"/>
      <c r="AC901" s="301"/>
      <c r="AD901" s="301"/>
      <c r="AE901" s="301"/>
      <c r="AH901" s="306"/>
      <c r="AI901" s="306"/>
      <c r="AJ901" s="307"/>
      <c r="AK901" s="307"/>
      <c r="AL901" s="307"/>
      <c r="AM901" s="307"/>
      <c r="AN901" s="307"/>
      <c r="AO901" s="307"/>
      <c r="AP901" s="307"/>
      <c r="AQ901" s="307"/>
      <c r="AR901" s="307"/>
    </row>
    <row r="902" spans="7:44" s="302" customFormat="1" ht="11.75" customHeight="1" x14ac:dyDescent="0.15">
      <c r="G902" s="300"/>
      <c r="H902" s="301"/>
      <c r="I902" s="301"/>
      <c r="J902" s="301"/>
      <c r="K902" s="301"/>
      <c r="L902" s="301"/>
      <c r="M902" s="301"/>
      <c r="N902" s="301"/>
      <c r="O902" s="301"/>
      <c r="P902" s="301"/>
      <c r="Q902" s="301"/>
      <c r="R902" s="301"/>
      <c r="S902" s="301"/>
      <c r="T902" s="301"/>
      <c r="U902" s="301"/>
      <c r="V902" s="301"/>
      <c r="W902" s="301"/>
      <c r="X902" s="301"/>
      <c r="Y902" s="301"/>
      <c r="Z902" s="301"/>
      <c r="AA902" s="301"/>
      <c r="AB902" s="301"/>
      <c r="AC902" s="301"/>
      <c r="AD902" s="301"/>
      <c r="AE902" s="301"/>
      <c r="AH902" s="306"/>
      <c r="AI902" s="306"/>
      <c r="AJ902" s="307"/>
      <c r="AK902" s="307"/>
      <c r="AL902" s="307"/>
      <c r="AM902" s="307"/>
      <c r="AN902" s="307"/>
      <c r="AO902" s="307"/>
      <c r="AP902" s="307"/>
      <c r="AQ902" s="307"/>
      <c r="AR902" s="307"/>
    </row>
    <row r="903" spans="7:44" s="302" customFormat="1" ht="11.75" customHeight="1" x14ac:dyDescent="0.15">
      <c r="G903" s="300"/>
      <c r="H903" s="301"/>
      <c r="I903" s="301"/>
      <c r="J903" s="301"/>
      <c r="K903" s="301"/>
      <c r="L903" s="301"/>
      <c r="M903" s="301"/>
      <c r="N903" s="301"/>
      <c r="O903" s="301"/>
      <c r="P903" s="301"/>
      <c r="Q903" s="301"/>
      <c r="R903" s="301"/>
      <c r="S903" s="301"/>
      <c r="T903" s="301"/>
      <c r="U903" s="301"/>
      <c r="V903" s="301"/>
      <c r="W903" s="301"/>
      <c r="X903" s="301"/>
      <c r="Y903" s="301"/>
      <c r="Z903" s="301"/>
      <c r="AA903" s="301"/>
      <c r="AB903" s="301"/>
      <c r="AC903" s="301"/>
      <c r="AD903" s="301"/>
      <c r="AE903" s="301"/>
      <c r="AH903" s="306"/>
      <c r="AI903" s="306"/>
      <c r="AJ903" s="307"/>
      <c r="AK903" s="316"/>
      <c r="AL903" s="316"/>
      <c r="AM903" s="316"/>
      <c r="AN903" s="316"/>
      <c r="AO903" s="316"/>
      <c r="AP903" s="316"/>
      <c r="AQ903" s="316"/>
      <c r="AR903" s="316"/>
    </row>
    <row r="904" spans="7:44" s="302" customFormat="1" ht="11.75" customHeight="1" x14ac:dyDescent="0.15">
      <c r="G904" s="300"/>
      <c r="H904" s="301"/>
      <c r="I904" s="301"/>
      <c r="J904" s="301"/>
      <c r="K904" s="301"/>
      <c r="L904" s="301"/>
      <c r="M904" s="301"/>
      <c r="N904" s="301"/>
      <c r="O904" s="301"/>
      <c r="P904" s="301"/>
      <c r="Q904" s="301"/>
      <c r="R904" s="301"/>
      <c r="S904" s="301"/>
      <c r="T904" s="301"/>
      <c r="U904" s="301"/>
      <c r="V904" s="301"/>
      <c r="W904" s="301"/>
      <c r="X904" s="301"/>
      <c r="Y904" s="301"/>
      <c r="Z904" s="301"/>
      <c r="AA904" s="301"/>
      <c r="AB904" s="301"/>
      <c r="AC904" s="301"/>
      <c r="AD904" s="301"/>
      <c r="AE904" s="301"/>
      <c r="AH904" s="306"/>
      <c r="AI904" s="306"/>
      <c r="AJ904" s="307"/>
      <c r="AK904" s="307"/>
      <c r="AL904" s="307"/>
      <c r="AM904" s="307"/>
      <c r="AN904" s="307"/>
      <c r="AO904" s="307"/>
      <c r="AP904" s="307"/>
      <c r="AQ904" s="307"/>
      <c r="AR904" s="307"/>
    </row>
    <row r="905" spans="7:44" s="302" customFormat="1" ht="11.75" customHeight="1" x14ac:dyDescent="0.15">
      <c r="G905" s="300"/>
      <c r="H905" s="301"/>
      <c r="I905" s="301"/>
      <c r="J905" s="301"/>
      <c r="K905" s="301"/>
      <c r="L905" s="301"/>
      <c r="M905" s="301"/>
      <c r="N905" s="301"/>
      <c r="O905" s="301"/>
      <c r="P905" s="301"/>
      <c r="Q905" s="301"/>
      <c r="R905" s="301"/>
      <c r="S905" s="301"/>
      <c r="T905" s="301"/>
      <c r="U905" s="301"/>
      <c r="V905" s="301"/>
      <c r="W905" s="301"/>
      <c r="X905" s="301"/>
      <c r="Y905" s="301"/>
      <c r="Z905" s="301"/>
      <c r="AA905" s="301"/>
      <c r="AB905" s="301"/>
      <c r="AC905" s="301"/>
      <c r="AD905" s="301"/>
      <c r="AE905" s="301"/>
      <c r="AH905" s="327"/>
      <c r="AI905" s="306"/>
      <c r="AJ905" s="307"/>
      <c r="AK905" s="307"/>
      <c r="AL905" s="307"/>
      <c r="AM905" s="307"/>
      <c r="AN905" s="307"/>
      <c r="AO905" s="307"/>
      <c r="AP905" s="307"/>
      <c r="AQ905" s="307"/>
      <c r="AR905" s="307"/>
    </row>
    <row r="906" spans="7:44" s="302" customFormat="1" ht="11.75" customHeight="1" x14ac:dyDescent="0.15">
      <c r="G906" s="300"/>
      <c r="H906" s="301"/>
      <c r="I906" s="301"/>
      <c r="J906" s="301"/>
      <c r="K906" s="301"/>
      <c r="L906" s="301"/>
      <c r="M906" s="301"/>
      <c r="N906" s="301"/>
      <c r="O906" s="301"/>
      <c r="P906" s="301"/>
      <c r="Q906" s="301"/>
      <c r="R906" s="301"/>
      <c r="S906" s="301"/>
      <c r="T906" s="301"/>
      <c r="U906" s="301"/>
      <c r="V906" s="301"/>
      <c r="W906" s="301"/>
      <c r="X906" s="301"/>
      <c r="Y906" s="301"/>
      <c r="Z906" s="301"/>
      <c r="AA906" s="301"/>
      <c r="AB906" s="301"/>
      <c r="AC906" s="301"/>
      <c r="AD906" s="301"/>
      <c r="AE906" s="301"/>
      <c r="AH906" s="327"/>
      <c r="AI906" s="306"/>
      <c r="AJ906" s="307"/>
      <c r="AK906" s="307"/>
      <c r="AL906" s="307"/>
      <c r="AM906" s="307"/>
      <c r="AN906" s="307"/>
      <c r="AO906" s="307"/>
      <c r="AP906" s="307"/>
      <c r="AQ906" s="307"/>
      <c r="AR906" s="307"/>
    </row>
    <row r="907" spans="7:44" s="302" customFormat="1" ht="11.75" customHeight="1" x14ac:dyDescent="0.15">
      <c r="G907" s="300"/>
      <c r="H907" s="301"/>
      <c r="I907" s="301"/>
      <c r="J907" s="301"/>
      <c r="K907" s="301"/>
      <c r="L907" s="301"/>
      <c r="M907" s="301"/>
      <c r="N907" s="301"/>
      <c r="O907" s="301"/>
      <c r="P907" s="301"/>
      <c r="Q907" s="301"/>
      <c r="R907" s="301"/>
      <c r="S907" s="301"/>
      <c r="T907" s="301"/>
      <c r="U907" s="301"/>
      <c r="V907" s="301"/>
      <c r="W907" s="301"/>
      <c r="X907" s="301"/>
      <c r="Y907" s="301"/>
      <c r="Z907" s="301"/>
      <c r="AA907" s="301"/>
      <c r="AB907" s="301"/>
      <c r="AC907" s="301"/>
      <c r="AD907" s="301"/>
      <c r="AE907" s="301"/>
      <c r="AH907" s="306"/>
      <c r="AI907" s="306"/>
      <c r="AJ907" s="307"/>
      <c r="AK907" s="307"/>
      <c r="AL907" s="307"/>
      <c r="AM907" s="307"/>
      <c r="AN907" s="307"/>
      <c r="AO907" s="307"/>
      <c r="AP907" s="307"/>
      <c r="AQ907" s="307"/>
      <c r="AR907" s="307"/>
    </row>
    <row r="908" spans="7:44" s="302" customFormat="1" ht="11.75" customHeight="1" x14ac:dyDescent="0.15">
      <c r="G908" s="300"/>
      <c r="H908" s="301"/>
      <c r="I908" s="301"/>
      <c r="J908" s="301"/>
      <c r="K908" s="301"/>
      <c r="L908" s="301"/>
      <c r="M908" s="301"/>
      <c r="N908" s="301"/>
      <c r="O908" s="301"/>
      <c r="P908" s="301"/>
      <c r="Q908" s="301"/>
      <c r="R908" s="301"/>
      <c r="S908" s="301"/>
      <c r="T908" s="301"/>
      <c r="U908" s="301"/>
      <c r="V908" s="301"/>
      <c r="W908" s="301"/>
      <c r="X908" s="301"/>
      <c r="Y908" s="301"/>
      <c r="Z908" s="301"/>
      <c r="AA908" s="301"/>
      <c r="AB908" s="301"/>
      <c r="AC908" s="301"/>
      <c r="AD908" s="301"/>
      <c r="AE908" s="301"/>
      <c r="AH908" s="306"/>
      <c r="AI908" s="306"/>
      <c r="AJ908" s="307"/>
      <c r="AK908" s="316"/>
      <c r="AL908" s="316"/>
      <c r="AM908" s="316"/>
      <c r="AN908" s="316"/>
      <c r="AO908" s="316"/>
      <c r="AP908" s="316"/>
      <c r="AQ908" s="316"/>
      <c r="AR908" s="316"/>
    </row>
    <row r="909" spans="7:44" s="302" customFormat="1" ht="11.75" customHeight="1" x14ac:dyDescent="0.15">
      <c r="G909" s="300"/>
      <c r="H909" s="301"/>
      <c r="I909" s="301"/>
      <c r="J909" s="301"/>
      <c r="K909" s="301"/>
      <c r="L909" s="301"/>
      <c r="M909" s="301"/>
      <c r="N909" s="301"/>
      <c r="O909" s="301"/>
      <c r="P909" s="301"/>
      <c r="Q909" s="301"/>
      <c r="R909" s="301"/>
      <c r="S909" s="301"/>
      <c r="T909" s="301"/>
      <c r="U909" s="301"/>
      <c r="V909" s="301"/>
      <c r="W909" s="301"/>
      <c r="X909" s="301"/>
      <c r="Y909" s="301"/>
      <c r="Z909" s="301"/>
      <c r="AA909" s="301"/>
      <c r="AB909" s="301"/>
      <c r="AC909" s="301"/>
      <c r="AD909" s="301"/>
      <c r="AE909" s="301"/>
      <c r="AH909" s="306"/>
      <c r="AI909" s="306"/>
      <c r="AJ909" s="307"/>
      <c r="AK909" s="307"/>
      <c r="AL909" s="307"/>
      <c r="AM909" s="307"/>
      <c r="AN909" s="307"/>
      <c r="AO909" s="307"/>
      <c r="AP909" s="307"/>
      <c r="AQ909" s="307"/>
      <c r="AR909" s="307"/>
    </row>
    <row r="910" spans="7:44" s="302" customFormat="1" ht="11.75" customHeight="1" x14ac:dyDescent="0.15">
      <c r="G910" s="300"/>
      <c r="H910" s="301"/>
      <c r="I910" s="301"/>
      <c r="J910" s="301"/>
      <c r="K910" s="301"/>
      <c r="L910" s="301"/>
      <c r="M910" s="301"/>
      <c r="N910" s="301"/>
      <c r="O910" s="301"/>
      <c r="P910" s="301"/>
      <c r="Q910" s="301"/>
      <c r="R910" s="301"/>
      <c r="S910" s="301"/>
      <c r="T910" s="301"/>
      <c r="U910" s="301"/>
      <c r="V910" s="301"/>
      <c r="W910" s="301"/>
      <c r="X910" s="301"/>
      <c r="Y910" s="301"/>
      <c r="Z910" s="301"/>
      <c r="AA910" s="301"/>
      <c r="AB910" s="301"/>
      <c r="AC910" s="301"/>
      <c r="AD910" s="301"/>
      <c r="AE910" s="301"/>
      <c r="AH910" s="306"/>
      <c r="AI910" s="306"/>
      <c r="AJ910" s="307"/>
      <c r="AK910" s="307"/>
      <c r="AL910" s="307"/>
      <c r="AM910" s="307"/>
      <c r="AN910" s="307"/>
      <c r="AO910" s="307"/>
      <c r="AP910" s="307"/>
      <c r="AQ910" s="307"/>
      <c r="AR910" s="307"/>
    </row>
    <row r="911" spans="7:44" s="302" customFormat="1" ht="11.75" customHeight="1" x14ac:dyDescent="0.15">
      <c r="G911" s="300"/>
      <c r="H911" s="301"/>
      <c r="I911" s="301"/>
      <c r="J911" s="301"/>
      <c r="K911" s="301"/>
      <c r="L911" s="301"/>
      <c r="M911" s="301"/>
      <c r="N911" s="301"/>
      <c r="O911" s="301"/>
      <c r="P911" s="301"/>
      <c r="Q911" s="301"/>
      <c r="R911" s="301"/>
      <c r="S911" s="301"/>
      <c r="T911" s="301"/>
      <c r="U911" s="301"/>
      <c r="V911" s="301"/>
      <c r="W911" s="301"/>
      <c r="X911" s="301"/>
      <c r="Y911" s="301"/>
      <c r="Z911" s="301"/>
      <c r="AA911" s="301"/>
      <c r="AB911" s="301"/>
      <c r="AC911" s="301"/>
      <c r="AD911" s="301"/>
      <c r="AE911" s="301"/>
      <c r="AH911" s="306"/>
      <c r="AI911" s="306"/>
      <c r="AJ911" s="307"/>
      <c r="AK911" s="307"/>
      <c r="AL911" s="307"/>
      <c r="AM911" s="307"/>
      <c r="AN911" s="307"/>
      <c r="AO911" s="307"/>
      <c r="AP911" s="307"/>
      <c r="AQ911" s="307"/>
      <c r="AR911" s="307"/>
    </row>
    <row r="912" spans="7:44" s="302" customFormat="1" ht="11.75" customHeight="1" x14ac:dyDescent="0.15">
      <c r="G912" s="300"/>
      <c r="H912" s="301"/>
      <c r="I912" s="301"/>
      <c r="J912" s="301"/>
      <c r="K912" s="301"/>
      <c r="L912" s="301"/>
      <c r="M912" s="301"/>
      <c r="N912" s="301"/>
      <c r="O912" s="301"/>
      <c r="P912" s="301"/>
      <c r="Q912" s="301"/>
      <c r="R912" s="301"/>
      <c r="S912" s="301"/>
      <c r="T912" s="301"/>
      <c r="U912" s="301"/>
      <c r="V912" s="301"/>
      <c r="W912" s="301"/>
      <c r="X912" s="301"/>
      <c r="Y912" s="301"/>
      <c r="Z912" s="301"/>
      <c r="AA912" s="301"/>
      <c r="AB912" s="301"/>
      <c r="AC912" s="301"/>
      <c r="AD912" s="301"/>
      <c r="AE912" s="301"/>
      <c r="AH912" s="327"/>
      <c r="AI912" s="306"/>
      <c r="AJ912" s="307"/>
      <c r="AK912" s="307"/>
      <c r="AL912" s="307"/>
      <c r="AM912" s="307"/>
      <c r="AN912" s="307"/>
      <c r="AO912" s="307"/>
      <c r="AP912" s="307"/>
      <c r="AQ912" s="307"/>
      <c r="AR912" s="307"/>
    </row>
    <row r="913" spans="7:44" s="302" customFormat="1" ht="11.75" customHeight="1" x14ac:dyDescent="0.15">
      <c r="G913" s="300"/>
      <c r="H913" s="301"/>
      <c r="I913" s="301"/>
      <c r="J913" s="301"/>
      <c r="K913" s="301"/>
      <c r="L913" s="301"/>
      <c r="M913" s="301"/>
      <c r="N913" s="301"/>
      <c r="O913" s="301"/>
      <c r="P913" s="301"/>
      <c r="Q913" s="301"/>
      <c r="R913" s="301"/>
      <c r="S913" s="301"/>
      <c r="T913" s="301"/>
      <c r="U913" s="301"/>
      <c r="V913" s="301"/>
      <c r="W913" s="301"/>
      <c r="X913" s="301"/>
      <c r="Y913" s="301"/>
      <c r="Z913" s="301"/>
      <c r="AA913" s="301"/>
      <c r="AB913" s="301"/>
      <c r="AC913" s="301"/>
      <c r="AD913" s="301"/>
      <c r="AE913" s="301"/>
      <c r="AH913" s="306"/>
      <c r="AI913" s="306"/>
      <c r="AJ913" s="307"/>
      <c r="AK913" s="307"/>
      <c r="AL913" s="307"/>
      <c r="AM913" s="307"/>
      <c r="AN913" s="307"/>
      <c r="AO913" s="307"/>
      <c r="AP913" s="307"/>
      <c r="AQ913" s="307"/>
      <c r="AR913" s="307"/>
    </row>
    <row r="914" spans="7:44" s="302" customFormat="1" ht="11.75" customHeight="1" x14ac:dyDescent="0.15">
      <c r="G914" s="300"/>
      <c r="H914" s="301"/>
      <c r="I914" s="301"/>
      <c r="J914" s="301"/>
      <c r="K914" s="301"/>
      <c r="L914" s="301"/>
      <c r="M914" s="301"/>
      <c r="N914" s="301"/>
      <c r="O914" s="301"/>
      <c r="P914" s="301"/>
      <c r="Q914" s="301"/>
      <c r="R914" s="301"/>
      <c r="S914" s="301"/>
      <c r="T914" s="301"/>
      <c r="U914" s="301"/>
      <c r="V914" s="301"/>
      <c r="W914" s="301"/>
      <c r="X914" s="301"/>
      <c r="Y914" s="301"/>
      <c r="Z914" s="301"/>
      <c r="AA914" s="301"/>
      <c r="AB914" s="301"/>
      <c r="AC914" s="301"/>
      <c r="AD914" s="301"/>
      <c r="AE914" s="301"/>
      <c r="AH914" s="306"/>
      <c r="AI914" s="306"/>
      <c r="AJ914" s="307"/>
      <c r="AK914" s="316"/>
      <c r="AL914" s="316"/>
      <c r="AM914" s="316"/>
      <c r="AN914" s="316"/>
      <c r="AO914" s="316"/>
      <c r="AP914" s="316"/>
      <c r="AQ914" s="316"/>
      <c r="AR914" s="316"/>
    </row>
    <row r="915" spans="7:44" s="302" customFormat="1" ht="11.75" customHeight="1" x14ac:dyDescent="0.15">
      <c r="G915" s="300"/>
      <c r="H915" s="301"/>
      <c r="I915" s="301"/>
      <c r="J915" s="301"/>
      <c r="K915" s="301"/>
      <c r="L915" s="301"/>
      <c r="M915" s="301"/>
      <c r="N915" s="301"/>
      <c r="O915" s="301"/>
      <c r="P915" s="301"/>
      <c r="Q915" s="301"/>
      <c r="R915" s="301"/>
      <c r="S915" s="301"/>
      <c r="T915" s="301"/>
      <c r="U915" s="301"/>
      <c r="V915" s="301"/>
      <c r="W915" s="301"/>
      <c r="X915" s="301"/>
      <c r="Y915" s="301"/>
      <c r="Z915" s="301"/>
      <c r="AA915" s="301"/>
      <c r="AB915" s="301"/>
      <c r="AC915" s="301"/>
      <c r="AD915" s="301"/>
      <c r="AE915" s="301"/>
      <c r="AH915" s="306"/>
      <c r="AI915" s="306"/>
      <c r="AJ915" s="307"/>
      <c r="AK915" s="307"/>
      <c r="AL915" s="307"/>
      <c r="AM915" s="307"/>
      <c r="AN915" s="307"/>
      <c r="AO915" s="307"/>
      <c r="AP915" s="307"/>
      <c r="AQ915" s="307"/>
      <c r="AR915" s="307"/>
    </row>
    <row r="916" spans="7:44" s="302" customFormat="1" ht="11.75" customHeight="1" x14ac:dyDescent="0.15">
      <c r="G916" s="300"/>
      <c r="H916" s="301"/>
      <c r="I916" s="301"/>
      <c r="J916" s="301"/>
      <c r="K916" s="301"/>
      <c r="L916" s="301"/>
      <c r="M916" s="301"/>
      <c r="N916" s="301"/>
      <c r="O916" s="301"/>
      <c r="P916" s="301"/>
      <c r="Q916" s="301"/>
      <c r="R916" s="301"/>
      <c r="S916" s="301"/>
      <c r="T916" s="301"/>
      <c r="U916" s="301"/>
      <c r="V916" s="301"/>
      <c r="W916" s="301"/>
      <c r="X916" s="301"/>
      <c r="Y916" s="301"/>
      <c r="Z916" s="301"/>
      <c r="AA916" s="301"/>
      <c r="AB916" s="301"/>
      <c r="AC916" s="301"/>
      <c r="AD916" s="301"/>
      <c r="AE916" s="301"/>
      <c r="AH916" s="306"/>
      <c r="AI916" s="306"/>
      <c r="AJ916" s="307"/>
      <c r="AK916" s="307"/>
      <c r="AL916" s="307"/>
      <c r="AM916" s="307"/>
      <c r="AN916" s="307"/>
      <c r="AO916" s="307"/>
      <c r="AP916" s="307"/>
      <c r="AQ916" s="307"/>
      <c r="AR916" s="307"/>
    </row>
    <row r="917" spans="7:44" s="302" customFormat="1" ht="11.75" customHeight="1" x14ac:dyDescent="0.15">
      <c r="G917" s="300"/>
      <c r="H917" s="301"/>
      <c r="I917" s="301"/>
      <c r="J917" s="301"/>
      <c r="K917" s="301"/>
      <c r="L917" s="301"/>
      <c r="M917" s="301"/>
      <c r="N917" s="301"/>
      <c r="O917" s="301"/>
      <c r="P917" s="301"/>
      <c r="Q917" s="301"/>
      <c r="R917" s="301"/>
      <c r="S917" s="301"/>
      <c r="T917" s="301"/>
      <c r="U917" s="301"/>
      <c r="V917" s="301"/>
      <c r="W917" s="301"/>
      <c r="X917" s="301"/>
      <c r="Y917" s="301"/>
      <c r="Z917" s="301"/>
      <c r="AA917" s="301"/>
      <c r="AB917" s="301"/>
      <c r="AC917" s="301"/>
      <c r="AD917" s="301"/>
      <c r="AE917" s="301"/>
      <c r="AH917" s="306"/>
      <c r="AI917" s="306"/>
      <c r="AJ917" s="307"/>
      <c r="AK917" s="307"/>
      <c r="AL917" s="307"/>
      <c r="AM917" s="307"/>
      <c r="AN917" s="307"/>
      <c r="AO917" s="307"/>
      <c r="AP917" s="307"/>
      <c r="AQ917" s="307"/>
      <c r="AR917" s="307"/>
    </row>
    <row r="918" spans="7:44" s="302" customFormat="1" ht="11.75" customHeight="1" x14ac:dyDescent="0.15">
      <c r="G918" s="300"/>
      <c r="H918" s="301"/>
      <c r="I918" s="301"/>
      <c r="J918" s="301"/>
      <c r="K918" s="301"/>
      <c r="L918" s="301"/>
      <c r="M918" s="301"/>
      <c r="N918" s="301"/>
      <c r="O918" s="301"/>
      <c r="P918" s="301"/>
      <c r="Q918" s="301"/>
      <c r="R918" s="301"/>
      <c r="S918" s="301"/>
      <c r="T918" s="301"/>
      <c r="U918" s="301"/>
      <c r="V918" s="301"/>
      <c r="W918" s="301"/>
      <c r="X918" s="301"/>
      <c r="Y918" s="301"/>
      <c r="Z918" s="301"/>
      <c r="AA918" s="301"/>
      <c r="AB918" s="301"/>
      <c r="AC918" s="301"/>
      <c r="AD918" s="301"/>
      <c r="AE918" s="301"/>
      <c r="AH918" s="327"/>
      <c r="AI918" s="306"/>
      <c r="AJ918" s="307"/>
      <c r="AK918" s="316"/>
      <c r="AL918" s="330"/>
      <c r="AM918" s="330"/>
      <c r="AN918" s="330"/>
      <c r="AO918" s="330"/>
      <c r="AP918" s="330"/>
      <c r="AQ918" s="330"/>
      <c r="AR918" s="330"/>
    </row>
    <row r="919" spans="7:44" s="302" customFormat="1" ht="11.75" customHeight="1" x14ac:dyDescent="0.15">
      <c r="G919" s="300"/>
      <c r="H919" s="301"/>
      <c r="I919" s="301"/>
      <c r="J919" s="301"/>
      <c r="K919" s="301"/>
      <c r="L919" s="301"/>
      <c r="M919" s="301"/>
      <c r="N919" s="301"/>
      <c r="O919" s="301"/>
      <c r="P919" s="301"/>
      <c r="Q919" s="301"/>
      <c r="R919" s="301"/>
      <c r="S919" s="301"/>
      <c r="T919" s="301"/>
      <c r="U919" s="301"/>
      <c r="V919" s="301"/>
      <c r="W919" s="301"/>
      <c r="X919" s="301"/>
      <c r="Y919" s="301"/>
      <c r="Z919" s="301"/>
      <c r="AA919" s="301"/>
      <c r="AB919" s="301"/>
      <c r="AC919" s="301"/>
      <c r="AD919" s="301"/>
      <c r="AE919" s="301"/>
      <c r="AH919" s="306"/>
      <c r="AI919" s="306"/>
      <c r="AJ919" s="307"/>
      <c r="AK919" s="307"/>
      <c r="AL919" s="307"/>
      <c r="AM919" s="307"/>
      <c r="AN919" s="307"/>
      <c r="AO919" s="307"/>
      <c r="AP919" s="307"/>
      <c r="AQ919" s="307"/>
      <c r="AR919" s="307"/>
    </row>
    <row r="920" spans="7:44" s="302" customFormat="1" ht="11.75" customHeight="1" x14ac:dyDescent="0.15">
      <c r="G920" s="300"/>
      <c r="H920" s="301"/>
      <c r="I920" s="301"/>
      <c r="J920" s="301"/>
      <c r="K920" s="301"/>
      <c r="L920" s="301"/>
      <c r="M920" s="301"/>
      <c r="N920" s="301"/>
      <c r="O920" s="301"/>
      <c r="P920" s="301"/>
      <c r="Q920" s="301"/>
      <c r="R920" s="301"/>
      <c r="S920" s="301"/>
      <c r="T920" s="301"/>
      <c r="U920" s="301"/>
      <c r="V920" s="301"/>
      <c r="W920" s="301"/>
      <c r="X920" s="301"/>
      <c r="Y920" s="301"/>
      <c r="Z920" s="301"/>
      <c r="AA920" s="301"/>
      <c r="AB920" s="301"/>
      <c r="AC920" s="301"/>
      <c r="AD920" s="301"/>
      <c r="AE920" s="301"/>
      <c r="AH920" s="306"/>
      <c r="AI920" s="306"/>
      <c r="AJ920" s="307"/>
      <c r="AK920" s="316"/>
      <c r="AL920" s="316"/>
      <c r="AM920" s="316"/>
      <c r="AN920" s="316"/>
      <c r="AO920" s="316"/>
      <c r="AP920" s="316"/>
      <c r="AQ920" s="316"/>
      <c r="AR920" s="316"/>
    </row>
    <row r="921" spans="7:44" s="302" customFormat="1" ht="11.75" customHeight="1" x14ac:dyDescent="0.15">
      <c r="G921" s="300"/>
      <c r="H921" s="301"/>
      <c r="I921" s="301"/>
      <c r="J921" s="301"/>
      <c r="K921" s="301"/>
      <c r="L921" s="301"/>
      <c r="M921" s="301"/>
      <c r="N921" s="301"/>
      <c r="O921" s="301"/>
      <c r="P921" s="301"/>
      <c r="Q921" s="301"/>
      <c r="R921" s="301"/>
      <c r="S921" s="301"/>
      <c r="T921" s="301"/>
      <c r="U921" s="301"/>
      <c r="V921" s="301"/>
      <c r="W921" s="301"/>
      <c r="X921" s="301"/>
      <c r="Y921" s="301"/>
      <c r="Z921" s="301"/>
      <c r="AA921" s="301"/>
      <c r="AB921" s="301"/>
      <c r="AC921" s="301"/>
      <c r="AD921" s="301"/>
      <c r="AE921" s="301"/>
      <c r="AH921" s="306"/>
      <c r="AI921" s="306"/>
      <c r="AJ921" s="307"/>
      <c r="AK921" s="307"/>
      <c r="AL921" s="307"/>
      <c r="AM921" s="307"/>
      <c r="AN921" s="307"/>
      <c r="AO921" s="307"/>
      <c r="AP921" s="307"/>
      <c r="AQ921" s="307"/>
      <c r="AR921" s="307"/>
    </row>
    <row r="922" spans="7:44" s="302" customFormat="1" ht="11.75" customHeight="1" x14ac:dyDescent="0.15">
      <c r="G922" s="300"/>
      <c r="H922" s="301"/>
      <c r="I922" s="301"/>
      <c r="J922" s="301"/>
      <c r="K922" s="301"/>
      <c r="L922" s="301"/>
      <c r="M922" s="301"/>
      <c r="N922" s="301"/>
      <c r="O922" s="301"/>
      <c r="P922" s="301"/>
      <c r="Q922" s="301"/>
      <c r="R922" s="301"/>
      <c r="S922" s="301"/>
      <c r="T922" s="301"/>
      <c r="U922" s="301"/>
      <c r="V922" s="301"/>
      <c r="W922" s="301"/>
      <c r="X922" s="301"/>
      <c r="Y922" s="301"/>
      <c r="Z922" s="301"/>
      <c r="AA922" s="301"/>
      <c r="AB922" s="301"/>
      <c r="AC922" s="301"/>
      <c r="AD922" s="301"/>
      <c r="AE922" s="301"/>
      <c r="AH922" s="306"/>
      <c r="AI922" s="306"/>
      <c r="AJ922" s="307"/>
      <c r="AK922" s="307"/>
      <c r="AL922" s="307"/>
      <c r="AM922" s="307"/>
      <c r="AN922" s="307"/>
      <c r="AO922" s="307"/>
      <c r="AP922" s="307"/>
      <c r="AQ922" s="307"/>
      <c r="AR922" s="307"/>
    </row>
    <row r="923" spans="7:44" s="302" customFormat="1" ht="11.75" customHeight="1" x14ac:dyDescent="0.15">
      <c r="G923" s="300"/>
      <c r="H923" s="301"/>
      <c r="I923" s="301"/>
      <c r="J923" s="301"/>
      <c r="K923" s="301"/>
      <c r="L923" s="301"/>
      <c r="M923" s="301"/>
      <c r="N923" s="301"/>
      <c r="O923" s="301"/>
      <c r="P923" s="301"/>
      <c r="Q923" s="301"/>
      <c r="R923" s="301"/>
      <c r="S923" s="301"/>
      <c r="T923" s="301"/>
      <c r="U923" s="301"/>
      <c r="V923" s="301"/>
      <c r="W923" s="301"/>
      <c r="X923" s="301"/>
      <c r="Y923" s="301"/>
      <c r="Z923" s="301"/>
      <c r="AA923" s="301"/>
      <c r="AB923" s="301"/>
      <c r="AC923" s="301"/>
      <c r="AD923" s="301"/>
      <c r="AE923" s="301"/>
      <c r="AH923" s="306"/>
      <c r="AI923" s="306"/>
      <c r="AJ923" s="307"/>
      <c r="AK923" s="316"/>
      <c r="AL923" s="330"/>
      <c r="AM923" s="330"/>
      <c r="AN923" s="330"/>
      <c r="AO923" s="330"/>
      <c r="AP923" s="330"/>
      <c r="AQ923" s="330"/>
      <c r="AR923" s="330"/>
    </row>
    <row r="924" spans="7:44" s="302" customFormat="1" ht="11.75" customHeight="1" x14ac:dyDescent="0.15">
      <c r="G924" s="300"/>
      <c r="H924" s="301"/>
      <c r="I924" s="301"/>
      <c r="J924" s="301"/>
      <c r="K924" s="301"/>
      <c r="L924" s="301"/>
      <c r="M924" s="301"/>
      <c r="N924" s="301"/>
      <c r="O924" s="301"/>
      <c r="P924" s="301"/>
      <c r="Q924" s="301"/>
      <c r="R924" s="301"/>
      <c r="S924" s="301"/>
      <c r="T924" s="301"/>
      <c r="U924" s="301"/>
      <c r="V924" s="301"/>
      <c r="W924" s="301"/>
      <c r="X924" s="301"/>
      <c r="Y924" s="301"/>
      <c r="Z924" s="301"/>
      <c r="AA924" s="301"/>
      <c r="AB924" s="301"/>
      <c r="AC924" s="301"/>
      <c r="AD924" s="301"/>
      <c r="AE924" s="301"/>
      <c r="AH924" s="306"/>
      <c r="AI924" s="306"/>
      <c r="AJ924" s="307"/>
      <c r="AK924" s="307"/>
      <c r="AL924" s="307"/>
      <c r="AM924" s="307"/>
      <c r="AN924" s="307"/>
      <c r="AO924" s="307"/>
      <c r="AP924" s="307"/>
      <c r="AQ924" s="307"/>
      <c r="AR924" s="307"/>
    </row>
    <row r="925" spans="7:44" s="302" customFormat="1" ht="11.75" customHeight="1" x14ac:dyDescent="0.15">
      <c r="G925" s="300"/>
      <c r="H925" s="301"/>
      <c r="I925" s="301"/>
      <c r="J925" s="301"/>
      <c r="K925" s="301"/>
      <c r="L925" s="301"/>
      <c r="M925" s="301"/>
      <c r="N925" s="301"/>
      <c r="O925" s="301"/>
      <c r="P925" s="301"/>
      <c r="Q925" s="301"/>
      <c r="R925" s="301"/>
      <c r="S925" s="301"/>
      <c r="T925" s="301"/>
      <c r="U925" s="301"/>
      <c r="V925" s="301"/>
      <c r="W925" s="301"/>
      <c r="X925" s="301"/>
      <c r="Y925" s="301"/>
      <c r="Z925" s="301"/>
      <c r="AA925" s="301"/>
      <c r="AB925" s="301"/>
      <c r="AC925" s="301"/>
      <c r="AD925" s="301"/>
      <c r="AE925" s="301"/>
      <c r="AH925" s="306"/>
      <c r="AI925" s="306"/>
      <c r="AJ925" s="307"/>
      <c r="AK925" s="307"/>
      <c r="AL925" s="307"/>
      <c r="AM925" s="307"/>
      <c r="AN925" s="307"/>
      <c r="AO925" s="307"/>
      <c r="AP925" s="307"/>
      <c r="AQ925" s="307"/>
      <c r="AR925" s="307"/>
    </row>
    <row r="926" spans="7:44" s="302" customFormat="1" ht="11.75" customHeight="1" x14ac:dyDescent="0.15">
      <c r="G926" s="300"/>
      <c r="H926" s="301"/>
      <c r="I926" s="301"/>
      <c r="J926" s="301"/>
      <c r="K926" s="301"/>
      <c r="L926" s="301"/>
      <c r="M926" s="301"/>
      <c r="N926" s="301"/>
      <c r="O926" s="301"/>
      <c r="P926" s="301"/>
      <c r="Q926" s="301"/>
      <c r="R926" s="301"/>
      <c r="S926" s="301"/>
      <c r="T926" s="301"/>
      <c r="U926" s="301"/>
      <c r="V926" s="301"/>
      <c r="W926" s="301"/>
      <c r="X926" s="301"/>
      <c r="Y926" s="301"/>
      <c r="Z926" s="301"/>
      <c r="AA926" s="301"/>
      <c r="AB926" s="301"/>
      <c r="AC926" s="301"/>
      <c r="AD926" s="301"/>
      <c r="AE926" s="301"/>
      <c r="AH926" s="306"/>
      <c r="AI926" s="306"/>
      <c r="AJ926" s="307"/>
      <c r="AK926" s="307"/>
      <c r="AL926" s="307"/>
      <c r="AM926" s="307"/>
      <c r="AN926" s="307"/>
      <c r="AO926" s="307"/>
      <c r="AP926" s="307"/>
      <c r="AQ926" s="307"/>
      <c r="AR926" s="307"/>
    </row>
    <row r="927" spans="7:44" s="302" customFormat="1" ht="11.75" customHeight="1" x14ac:dyDescent="0.15">
      <c r="G927" s="300"/>
      <c r="H927" s="301"/>
      <c r="I927" s="301"/>
      <c r="J927" s="301"/>
      <c r="K927" s="301"/>
      <c r="L927" s="301"/>
      <c r="M927" s="301"/>
      <c r="N927" s="301"/>
      <c r="O927" s="301"/>
      <c r="P927" s="301"/>
      <c r="Q927" s="301"/>
      <c r="R927" s="301"/>
      <c r="S927" s="301"/>
      <c r="T927" s="301"/>
      <c r="U927" s="301"/>
      <c r="V927" s="301"/>
      <c r="W927" s="301"/>
      <c r="X927" s="301"/>
      <c r="Y927" s="301"/>
      <c r="Z927" s="301"/>
      <c r="AA927" s="301"/>
      <c r="AB927" s="301"/>
      <c r="AC927" s="301"/>
      <c r="AD927" s="301"/>
      <c r="AE927" s="301"/>
      <c r="AH927" s="306"/>
      <c r="AI927" s="306"/>
      <c r="AJ927" s="307"/>
      <c r="AK927" s="307"/>
      <c r="AL927" s="307"/>
      <c r="AM927" s="307"/>
      <c r="AN927" s="307"/>
      <c r="AO927" s="307"/>
      <c r="AP927" s="307"/>
      <c r="AQ927" s="307"/>
      <c r="AR927" s="307"/>
    </row>
    <row r="928" spans="7:44" s="302" customFormat="1" ht="11.75" customHeight="1" x14ac:dyDescent="0.15">
      <c r="G928" s="300"/>
      <c r="H928" s="301"/>
      <c r="I928" s="301"/>
      <c r="J928" s="301"/>
      <c r="K928" s="301"/>
      <c r="L928" s="301"/>
      <c r="M928" s="301"/>
      <c r="N928" s="301"/>
      <c r="O928" s="301"/>
      <c r="P928" s="301"/>
      <c r="Q928" s="301"/>
      <c r="R928" s="301"/>
      <c r="S928" s="301"/>
      <c r="T928" s="301"/>
      <c r="U928" s="301"/>
      <c r="V928" s="301"/>
      <c r="W928" s="301"/>
      <c r="X928" s="301"/>
      <c r="Y928" s="301"/>
      <c r="Z928" s="301"/>
      <c r="AA928" s="301"/>
      <c r="AB928" s="301"/>
      <c r="AC928" s="301"/>
      <c r="AD928" s="301"/>
      <c r="AE928" s="301"/>
      <c r="AH928" s="303"/>
      <c r="AI928" s="303"/>
      <c r="AJ928" s="303"/>
      <c r="AK928" s="303"/>
      <c r="AL928" s="303"/>
      <c r="AM928" s="303"/>
      <c r="AN928" s="303"/>
    </row>
    <row r="929" spans="7:40" s="302" customFormat="1" ht="11.75" customHeight="1" x14ac:dyDescent="0.15">
      <c r="G929" s="300"/>
      <c r="H929" s="301"/>
      <c r="I929" s="301"/>
      <c r="J929" s="301"/>
      <c r="K929" s="301"/>
      <c r="L929" s="301"/>
      <c r="M929" s="301"/>
      <c r="N929" s="301"/>
      <c r="O929" s="301"/>
      <c r="P929" s="301"/>
      <c r="Q929" s="301"/>
      <c r="R929" s="301"/>
      <c r="S929" s="301"/>
      <c r="T929" s="301"/>
      <c r="U929" s="301"/>
      <c r="V929" s="301"/>
      <c r="W929" s="301"/>
      <c r="X929" s="301"/>
      <c r="Y929" s="301"/>
      <c r="Z929" s="301"/>
      <c r="AA929" s="301"/>
      <c r="AB929" s="301"/>
      <c r="AC929" s="301"/>
      <c r="AD929" s="301"/>
      <c r="AE929" s="301"/>
      <c r="AH929" s="303"/>
      <c r="AI929" s="303"/>
      <c r="AJ929" s="303"/>
      <c r="AK929" s="303"/>
      <c r="AL929" s="303"/>
      <c r="AM929" s="303"/>
      <c r="AN929" s="303"/>
    </row>
    <row r="930" spans="7:40" s="302" customFormat="1" ht="11.75" customHeight="1" x14ac:dyDescent="0.15">
      <c r="G930" s="300"/>
      <c r="H930" s="301"/>
      <c r="I930" s="301"/>
      <c r="J930" s="301"/>
      <c r="K930" s="301"/>
      <c r="L930" s="301"/>
      <c r="M930" s="301"/>
      <c r="N930" s="301"/>
      <c r="O930" s="301"/>
      <c r="P930" s="301"/>
      <c r="Q930" s="301"/>
      <c r="R930" s="301"/>
      <c r="S930" s="301"/>
      <c r="T930" s="301"/>
      <c r="U930" s="301"/>
      <c r="V930" s="301"/>
      <c r="W930" s="301"/>
      <c r="X930" s="301"/>
      <c r="Y930" s="301"/>
      <c r="Z930" s="301"/>
      <c r="AA930" s="301"/>
      <c r="AB930" s="301"/>
      <c r="AC930" s="301"/>
      <c r="AD930" s="301"/>
      <c r="AE930" s="301"/>
      <c r="AH930" s="303"/>
      <c r="AI930" s="303"/>
      <c r="AJ930" s="303"/>
      <c r="AK930" s="303"/>
      <c r="AL930" s="303"/>
      <c r="AM930" s="303"/>
      <c r="AN930" s="303"/>
    </row>
    <row r="931" spans="7:40" s="302" customFormat="1" ht="11.75" customHeight="1" x14ac:dyDescent="0.15">
      <c r="G931" s="300"/>
      <c r="H931" s="301"/>
      <c r="I931" s="301"/>
      <c r="J931" s="301"/>
      <c r="K931" s="301"/>
      <c r="L931" s="301"/>
      <c r="M931" s="301"/>
      <c r="N931" s="301"/>
      <c r="O931" s="301"/>
      <c r="P931" s="301"/>
      <c r="Q931" s="301"/>
      <c r="R931" s="301"/>
      <c r="S931" s="301"/>
      <c r="T931" s="301"/>
      <c r="U931" s="301"/>
      <c r="V931" s="301"/>
      <c r="W931" s="301"/>
      <c r="X931" s="301"/>
      <c r="Y931" s="301"/>
      <c r="Z931" s="301"/>
      <c r="AA931" s="301"/>
      <c r="AB931" s="301"/>
      <c r="AC931" s="301"/>
      <c r="AD931" s="301"/>
      <c r="AE931" s="301"/>
      <c r="AH931" s="303"/>
      <c r="AI931" s="303"/>
      <c r="AJ931" s="303"/>
      <c r="AK931" s="303"/>
      <c r="AL931" s="303"/>
      <c r="AM931" s="303"/>
      <c r="AN931" s="303"/>
    </row>
    <row r="932" spans="7:40" s="302" customFormat="1" ht="11.75" customHeight="1" x14ac:dyDescent="0.15">
      <c r="G932" s="300"/>
      <c r="H932" s="301"/>
      <c r="I932" s="301"/>
      <c r="J932" s="301"/>
      <c r="K932" s="301"/>
      <c r="L932" s="301"/>
      <c r="M932" s="301"/>
      <c r="N932" s="301"/>
      <c r="O932" s="301"/>
      <c r="P932" s="301"/>
      <c r="Q932" s="301"/>
      <c r="R932" s="301"/>
      <c r="S932" s="301"/>
      <c r="T932" s="301"/>
      <c r="U932" s="301"/>
      <c r="V932" s="301"/>
      <c r="W932" s="301"/>
      <c r="X932" s="301"/>
      <c r="Y932" s="301"/>
      <c r="Z932" s="301"/>
      <c r="AA932" s="301"/>
      <c r="AB932" s="301"/>
      <c r="AC932" s="301"/>
      <c r="AD932" s="301"/>
      <c r="AE932" s="301"/>
      <c r="AH932" s="303"/>
      <c r="AI932" s="303"/>
      <c r="AJ932" s="303"/>
      <c r="AK932" s="303"/>
      <c r="AL932" s="303"/>
      <c r="AM932" s="303"/>
      <c r="AN932" s="303"/>
    </row>
    <row r="933" spans="7:40" s="302" customFormat="1" ht="11.75" customHeight="1" x14ac:dyDescent="0.15">
      <c r="G933" s="300"/>
      <c r="H933" s="301"/>
      <c r="I933" s="301"/>
      <c r="J933" s="301"/>
      <c r="K933" s="301"/>
      <c r="L933" s="301"/>
      <c r="M933" s="301"/>
      <c r="N933" s="301"/>
      <c r="O933" s="301"/>
      <c r="P933" s="301"/>
      <c r="Q933" s="301"/>
      <c r="R933" s="301"/>
      <c r="S933" s="301"/>
      <c r="T933" s="301"/>
      <c r="U933" s="301"/>
      <c r="V933" s="301"/>
      <c r="W933" s="301"/>
      <c r="X933" s="301"/>
      <c r="Y933" s="301"/>
      <c r="Z933" s="301"/>
      <c r="AA933" s="301"/>
      <c r="AB933" s="301"/>
      <c r="AC933" s="301"/>
      <c r="AD933" s="301"/>
      <c r="AE933" s="301"/>
      <c r="AH933" s="303"/>
      <c r="AI933" s="303"/>
      <c r="AJ933" s="303"/>
      <c r="AK933" s="303"/>
      <c r="AL933" s="303"/>
      <c r="AM933" s="303"/>
      <c r="AN933" s="303"/>
    </row>
    <row r="934" spans="7:40" s="302" customFormat="1" ht="11.75" customHeight="1" x14ac:dyDescent="0.15">
      <c r="G934" s="300"/>
      <c r="H934" s="301"/>
      <c r="I934" s="301"/>
      <c r="J934" s="301"/>
      <c r="K934" s="301"/>
      <c r="L934" s="301"/>
      <c r="M934" s="301"/>
      <c r="N934" s="301"/>
      <c r="O934" s="301"/>
      <c r="P934" s="301"/>
      <c r="Q934" s="301"/>
      <c r="R934" s="301"/>
      <c r="S934" s="301"/>
      <c r="T934" s="301"/>
      <c r="U934" s="301"/>
      <c r="V934" s="301"/>
      <c r="W934" s="301"/>
      <c r="X934" s="301"/>
      <c r="Y934" s="301"/>
      <c r="Z934" s="301"/>
      <c r="AA934" s="301"/>
      <c r="AB934" s="301"/>
      <c r="AC934" s="301"/>
      <c r="AD934" s="301"/>
      <c r="AE934" s="301"/>
      <c r="AH934" s="303"/>
      <c r="AI934" s="303"/>
      <c r="AJ934" s="303"/>
      <c r="AK934" s="303"/>
      <c r="AL934" s="303"/>
      <c r="AM934" s="303"/>
      <c r="AN934" s="303"/>
    </row>
    <row r="935" spans="7:40" s="302" customFormat="1" ht="11.75" customHeight="1" x14ac:dyDescent="0.15">
      <c r="G935" s="300"/>
      <c r="H935" s="301"/>
      <c r="I935" s="301"/>
      <c r="J935" s="301"/>
      <c r="K935" s="301"/>
      <c r="L935" s="301"/>
      <c r="M935" s="301"/>
      <c r="N935" s="301"/>
      <c r="O935" s="301"/>
      <c r="P935" s="301"/>
      <c r="Q935" s="301"/>
      <c r="R935" s="301"/>
      <c r="S935" s="301"/>
      <c r="T935" s="301"/>
      <c r="U935" s="301"/>
      <c r="V935" s="301"/>
      <c r="W935" s="301"/>
      <c r="X935" s="301"/>
      <c r="Y935" s="301"/>
      <c r="Z935" s="301"/>
      <c r="AA935" s="301"/>
      <c r="AB935" s="301"/>
      <c r="AC935" s="301"/>
      <c r="AD935" s="301"/>
      <c r="AE935" s="301"/>
      <c r="AH935" s="303"/>
      <c r="AI935" s="303"/>
      <c r="AJ935" s="303"/>
      <c r="AK935" s="303"/>
      <c r="AL935" s="303"/>
      <c r="AM935" s="303"/>
      <c r="AN935" s="303"/>
    </row>
    <row r="936" spans="7:40" s="302" customFormat="1" ht="11.75" customHeight="1" x14ac:dyDescent="0.15">
      <c r="G936" s="300"/>
      <c r="H936" s="301"/>
      <c r="I936" s="301"/>
      <c r="J936" s="301"/>
      <c r="K936" s="301"/>
      <c r="L936" s="301"/>
      <c r="M936" s="301"/>
      <c r="N936" s="301"/>
      <c r="O936" s="301"/>
      <c r="P936" s="301"/>
      <c r="Q936" s="301"/>
      <c r="R936" s="301"/>
      <c r="S936" s="301"/>
      <c r="T936" s="301"/>
      <c r="U936" s="301"/>
      <c r="V936" s="301"/>
      <c r="W936" s="301"/>
      <c r="X936" s="301"/>
      <c r="Y936" s="301"/>
      <c r="Z936" s="301"/>
      <c r="AA936" s="301"/>
      <c r="AB936" s="301"/>
      <c r="AC936" s="301"/>
      <c r="AD936" s="301"/>
      <c r="AE936" s="301"/>
      <c r="AH936" s="303"/>
      <c r="AI936" s="303"/>
      <c r="AJ936" s="303"/>
      <c r="AK936" s="303"/>
      <c r="AL936" s="303"/>
      <c r="AM936" s="303"/>
      <c r="AN936" s="303"/>
    </row>
    <row r="937" spans="7:40" s="302" customFormat="1" ht="11.75" customHeight="1" x14ac:dyDescent="0.15">
      <c r="G937" s="300"/>
      <c r="H937" s="301"/>
      <c r="I937" s="301"/>
      <c r="J937" s="301"/>
      <c r="K937" s="301"/>
      <c r="L937" s="301"/>
      <c r="M937" s="301"/>
      <c r="N937" s="301"/>
      <c r="O937" s="301"/>
      <c r="P937" s="301"/>
      <c r="Q937" s="301"/>
      <c r="R937" s="301"/>
      <c r="S937" s="301"/>
      <c r="T937" s="301"/>
      <c r="U937" s="301"/>
      <c r="V937" s="301"/>
      <c r="W937" s="301"/>
      <c r="X937" s="301"/>
      <c r="Y937" s="301"/>
      <c r="Z937" s="301"/>
      <c r="AA937" s="301"/>
      <c r="AB937" s="301"/>
      <c r="AC937" s="301"/>
      <c r="AD937" s="301"/>
      <c r="AE937" s="301"/>
      <c r="AH937" s="303"/>
      <c r="AI937" s="303"/>
      <c r="AJ937" s="303"/>
      <c r="AK937" s="303"/>
      <c r="AL937" s="303"/>
      <c r="AM937" s="303"/>
      <c r="AN937" s="303"/>
    </row>
    <row r="938" spans="7:40" s="302" customFormat="1" ht="11.75" customHeight="1" x14ac:dyDescent="0.15">
      <c r="G938" s="300"/>
      <c r="H938" s="301"/>
      <c r="I938" s="301"/>
      <c r="J938" s="301"/>
      <c r="K938" s="301"/>
      <c r="L938" s="301"/>
      <c r="M938" s="301"/>
      <c r="N938" s="301"/>
      <c r="O938" s="301"/>
      <c r="P938" s="301"/>
      <c r="Q938" s="301"/>
      <c r="R938" s="301"/>
      <c r="S938" s="301"/>
      <c r="T938" s="301"/>
      <c r="U938" s="301"/>
      <c r="V938" s="301"/>
      <c r="W938" s="301"/>
      <c r="X938" s="301"/>
      <c r="Y938" s="301"/>
      <c r="Z938" s="301"/>
      <c r="AA938" s="301"/>
      <c r="AB938" s="301"/>
      <c r="AC938" s="301"/>
      <c r="AD938" s="301"/>
      <c r="AE938" s="301"/>
      <c r="AH938" s="303"/>
      <c r="AI938" s="303"/>
      <c r="AJ938" s="303"/>
      <c r="AK938" s="303"/>
      <c r="AL938" s="303"/>
      <c r="AM938" s="303"/>
      <c r="AN938" s="303"/>
    </row>
    <row r="939" spans="7:40" s="302" customFormat="1" ht="11.75" customHeight="1" x14ac:dyDescent="0.15">
      <c r="G939" s="300"/>
      <c r="H939" s="301"/>
      <c r="I939" s="301"/>
      <c r="J939" s="301"/>
      <c r="K939" s="301"/>
      <c r="L939" s="301"/>
      <c r="M939" s="301"/>
      <c r="N939" s="301"/>
      <c r="O939" s="301"/>
      <c r="P939" s="301"/>
      <c r="Q939" s="301"/>
      <c r="R939" s="301"/>
      <c r="S939" s="301"/>
      <c r="T939" s="301"/>
      <c r="U939" s="301"/>
      <c r="V939" s="301"/>
      <c r="W939" s="301"/>
      <c r="X939" s="301"/>
      <c r="Y939" s="301"/>
      <c r="Z939" s="301"/>
      <c r="AA939" s="301"/>
      <c r="AB939" s="301"/>
      <c r="AC939" s="301"/>
      <c r="AD939" s="301"/>
      <c r="AE939" s="301"/>
      <c r="AH939" s="303"/>
      <c r="AI939" s="303"/>
      <c r="AJ939" s="303"/>
      <c r="AK939" s="303"/>
      <c r="AL939" s="303"/>
      <c r="AM939" s="303"/>
      <c r="AN939" s="303"/>
    </row>
    <row r="940" spans="7:40" s="302" customFormat="1" ht="11.75" customHeight="1" x14ac:dyDescent="0.15">
      <c r="G940" s="300"/>
      <c r="H940" s="301"/>
      <c r="I940" s="301"/>
      <c r="J940" s="301"/>
      <c r="K940" s="301"/>
      <c r="L940" s="301"/>
      <c r="M940" s="301"/>
      <c r="N940" s="301"/>
      <c r="O940" s="301"/>
      <c r="P940" s="301"/>
      <c r="Q940" s="301"/>
      <c r="R940" s="301"/>
      <c r="S940" s="301"/>
      <c r="T940" s="301"/>
      <c r="U940" s="301"/>
      <c r="V940" s="301"/>
      <c r="W940" s="301"/>
      <c r="X940" s="301"/>
      <c r="Y940" s="301"/>
      <c r="Z940" s="301"/>
      <c r="AA940" s="301"/>
      <c r="AB940" s="301"/>
      <c r="AC940" s="301"/>
      <c r="AD940" s="301"/>
      <c r="AE940" s="301"/>
      <c r="AH940" s="303"/>
      <c r="AI940" s="303"/>
      <c r="AJ940" s="303"/>
      <c r="AK940" s="303"/>
      <c r="AL940" s="303"/>
      <c r="AM940" s="303"/>
      <c r="AN940" s="303"/>
    </row>
    <row r="941" spans="7:40" s="302" customFormat="1" ht="11.75" customHeight="1" x14ac:dyDescent="0.15">
      <c r="G941" s="300"/>
      <c r="H941" s="301"/>
      <c r="I941" s="301"/>
      <c r="J941" s="301"/>
      <c r="K941" s="301"/>
      <c r="L941" s="301"/>
      <c r="M941" s="301"/>
      <c r="N941" s="301"/>
      <c r="O941" s="301"/>
      <c r="P941" s="301"/>
      <c r="Q941" s="301"/>
      <c r="R941" s="301"/>
      <c r="S941" s="301"/>
      <c r="T941" s="301"/>
      <c r="U941" s="301"/>
      <c r="V941" s="301"/>
      <c r="W941" s="301"/>
      <c r="X941" s="301"/>
      <c r="Y941" s="301"/>
      <c r="Z941" s="301"/>
      <c r="AA941" s="301"/>
      <c r="AB941" s="301"/>
      <c r="AC941" s="301"/>
      <c r="AD941" s="301"/>
      <c r="AE941" s="301"/>
      <c r="AH941" s="303"/>
      <c r="AI941" s="303"/>
      <c r="AJ941" s="303"/>
      <c r="AK941" s="303"/>
      <c r="AL941" s="303"/>
      <c r="AM941" s="303"/>
      <c r="AN941" s="303"/>
    </row>
    <row r="942" spans="7:40" s="302" customFormat="1" ht="11.75" customHeight="1" x14ac:dyDescent="0.15">
      <c r="G942" s="300"/>
      <c r="H942" s="301"/>
      <c r="I942" s="301"/>
      <c r="J942" s="301"/>
      <c r="K942" s="301"/>
      <c r="L942" s="301"/>
      <c r="M942" s="301"/>
      <c r="N942" s="301"/>
      <c r="O942" s="301"/>
      <c r="P942" s="301"/>
      <c r="Q942" s="301"/>
      <c r="R942" s="301"/>
      <c r="S942" s="301"/>
      <c r="T942" s="301"/>
      <c r="U942" s="301"/>
      <c r="V942" s="301"/>
      <c r="W942" s="301"/>
      <c r="X942" s="301"/>
      <c r="Y942" s="301"/>
      <c r="Z942" s="301"/>
      <c r="AA942" s="301"/>
      <c r="AB942" s="301"/>
      <c r="AC942" s="301"/>
      <c r="AD942" s="301"/>
      <c r="AE942" s="301"/>
      <c r="AH942" s="303"/>
      <c r="AI942" s="303"/>
      <c r="AJ942" s="303"/>
      <c r="AK942" s="303"/>
      <c r="AL942" s="303"/>
      <c r="AM942" s="303"/>
      <c r="AN942" s="303"/>
    </row>
    <row r="943" spans="7:40" s="302" customFormat="1" ht="11.75" customHeight="1" x14ac:dyDescent="0.15">
      <c r="G943" s="300"/>
      <c r="H943" s="301"/>
      <c r="I943" s="301"/>
      <c r="J943" s="301"/>
      <c r="K943" s="301"/>
      <c r="L943" s="301"/>
      <c r="M943" s="301"/>
      <c r="N943" s="301"/>
      <c r="O943" s="301"/>
      <c r="P943" s="301"/>
      <c r="Q943" s="301"/>
      <c r="R943" s="301"/>
      <c r="S943" s="301"/>
      <c r="T943" s="301"/>
      <c r="U943" s="301"/>
      <c r="V943" s="301"/>
      <c r="W943" s="301"/>
      <c r="X943" s="301"/>
      <c r="Y943" s="301"/>
      <c r="Z943" s="301"/>
      <c r="AA943" s="301"/>
      <c r="AB943" s="301"/>
      <c r="AC943" s="301"/>
      <c r="AD943" s="301"/>
      <c r="AE943" s="301"/>
      <c r="AH943" s="303"/>
      <c r="AI943" s="303"/>
      <c r="AJ943" s="303"/>
      <c r="AK943" s="303"/>
      <c r="AL943" s="303"/>
      <c r="AM943" s="303"/>
      <c r="AN943" s="303"/>
    </row>
    <row r="944" spans="7:40" s="302" customFormat="1" ht="11.75" customHeight="1" x14ac:dyDescent="0.15">
      <c r="G944" s="300"/>
      <c r="H944" s="301"/>
      <c r="I944" s="301"/>
      <c r="J944" s="301"/>
      <c r="K944" s="301"/>
      <c r="L944" s="301"/>
      <c r="M944" s="301"/>
      <c r="N944" s="301"/>
      <c r="O944" s="301"/>
      <c r="P944" s="301"/>
      <c r="Q944" s="301"/>
      <c r="R944" s="301"/>
      <c r="S944" s="301"/>
      <c r="T944" s="301"/>
      <c r="U944" s="301"/>
      <c r="V944" s="301"/>
      <c r="W944" s="301"/>
      <c r="X944" s="301"/>
      <c r="Y944" s="301"/>
      <c r="Z944" s="301"/>
      <c r="AA944" s="301"/>
      <c r="AB944" s="301"/>
      <c r="AC944" s="301"/>
      <c r="AD944" s="301"/>
      <c r="AE944" s="301"/>
      <c r="AH944" s="303"/>
      <c r="AI944" s="303"/>
      <c r="AJ944" s="303"/>
      <c r="AK944" s="303"/>
      <c r="AL944" s="303"/>
      <c r="AM944" s="303"/>
      <c r="AN944" s="303"/>
    </row>
    <row r="945" spans="7:40" s="302" customFormat="1" ht="11.75" customHeight="1" x14ac:dyDescent="0.15">
      <c r="G945" s="300"/>
      <c r="H945" s="301"/>
      <c r="I945" s="301"/>
      <c r="J945" s="301"/>
      <c r="K945" s="301"/>
      <c r="L945" s="301"/>
      <c r="M945" s="301"/>
      <c r="N945" s="301"/>
      <c r="O945" s="301"/>
      <c r="P945" s="301"/>
      <c r="Q945" s="301"/>
      <c r="R945" s="301"/>
      <c r="S945" s="301"/>
      <c r="T945" s="301"/>
      <c r="U945" s="301"/>
      <c r="V945" s="301"/>
      <c r="W945" s="301"/>
      <c r="X945" s="301"/>
      <c r="Y945" s="301"/>
      <c r="Z945" s="301"/>
      <c r="AA945" s="301"/>
      <c r="AB945" s="301"/>
      <c r="AC945" s="301"/>
      <c r="AD945" s="301"/>
      <c r="AE945" s="301"/>
      <c r="AH945" s="303"/>
      <c r="AI945" s="303"/>
      <c r="AJ945" s="303"/>
      <c r="AK945" s="303"/>
      <c r="AL945" s="303"/>
      <c r="AM945" s="303"/>
      <c r="AN945" s="303"/>
    </row>
    <row r="946" spans="7:40" s="302" customFormat="1" ht="11.75" customHeight="1" x14ac:dyDescent="0.15">
      <c r="G946" s="300"/>
      <c r="H946" s="301"/>
      <c r="I946" s="301"/>
      <c r="J946" s="301"/>
      <c r="K946" s="301"/>
      <c r="L946" s="301"/>
      <c r="M946" s="301"/>
      <c r="N946" s="301"/>
      <c r="O946" s="301"/>
      <c r="P946" s="301"/>
      <c r="Q946" s="301"/>
      <c r="R946" s="301"/>
      <c r="S946" s="301"/>
      <c r="T946" s="301"/>
      <c r="U946" s="301"/>
      <c r="V946" s="301"/>
      <c r="W946" s="301"/>
      <c r="X946" s="301"/>
      <c r="Y946" s="301"/>
      <c r="Z946" s="301"/>
      <c r="AA946" s="301"/>
      <c r="AB946" s="301"/>
      <c r="AC946" s="301"/>
      <c r="AD946" s="301"/>
      <c r="AE946" s="301"/>
      <c r="AH946" s="303"/>
      <c r="AI946" s="303"/>
      <c r="AJ946" s="303"/>
      <c r="AK946" s="303"/>
      <c r="AL946" s="303"/>
      <c r="AM946" s="303"/>
      <c r="AN946" s="303"/>
    </row>
    <row r="947" spans="7:40" s="302" customFormat="1" ht="11.75" customHeight="1" x14ac:dyDescent="0.15">
      <c r="G947" s="300"/>
      <c r="H947" s="301"/>
      <c r="I947" s="301"/>
      <c r="J947" s="301"/>
      <c r="K947" s="301"/>
      <c r="L947" s="301"/>
      <c r="M947" s="301"/>
      <c r="N947" s="301"/>
      <c r="O947" s="301"/>
      <c r="P947" s="301"/>
      <c r="Q947" s="301"/>
      <c r="R947" s="301"/>
      <c r="S947" s="301"/>
      <c r="T947" s="301"/>
      <c r="U947" s="301"/>
      <c r="V947" s="301"/>
      <c r="W947" s="301"/>
      <c r="X947" s="301"/>
      <c r="Y947" s="301"/>
      <c r="Z947" s="301"/>
      <c r="AA947" s="301"/>
      <c r="AB947" s="301"/>
      <c r="AC947" s="301"/>
      <c r="AD947" s="301"/>
      <c r="AE947" s="301"/>
      <c r="AH947" s="303"/>
      <c r="AI947" s="303"/>
      <c r="AJ947" s="303"/>
      <c r="AK947" s="303"/>
      <c r="AL947" s="303"/>
      <c r="AM947" s="303"/>
      <c r="AN947" s="303"/>
    </row>
    <row r="948" spans="7:40" s="302" customFormat="1" ht="11.75" customHeight="1" x14ac:dyDescent="0.15">
      <c r="G948" s="300"/>
      <c r="H948" s="301"/>
      <c r="I948" s="301"/>
      <c r="J948" s="301"/>
      <c r="K948" s="301"/>
      <c r="L948" s="301"/>
      <c r="M948" s="301"/>
      <c r="N948" s="301"/>
      <c r="O948" s="301"/>
      <c r="P948" s="301"/>
      <c r="Q948" s="301"/>
      <c r="R948" s="301"/>
      <c r="S948" s="301"/>
      <c r="T948" s="301"/>
      <c r="U948" s="301"/>
      <c r="V948" s="301"/>
      <c r="W948" s="301"/>
      <c r="X948" s="301"/>
      <c r="Y948" s="301"/>
      <c r="Z948" s="301"/>
      <c r="AA948" s="301"/>
      <c r="AB948" s="301"/>
      <c r="AC948" s="301"/>
      <c r="AD948" s="301"/>
      <c r="AE948" s="301"/>
      <c r="AH948" s="303"/>
      <c r="AI948" s="303"/>
      <c r="AJ948" s="303"/>
      <c r="AK948" s="303"/>
      <c r="AL948" s="303"/>
      <c r="AM948" s="303"/>
      <c r="AN948" s="303"/>
    </row>
    <row r="949" spans="7:40" s="302" customFormat="1" ht="11.75" customHeight="1" x14ac:dyDescent="0.15">
      <c r="G949" s="300"/>
      <c r="H949" s="301"/>
      <c r="I949" s="301"/>
      <c r="J949" s="301"/>
      <c r="K949" s="301"/>
      <c r="L949" s="301"/>
      <c r="M949" s="301"/>
      <c r="N949" s="301"/>
      <c r="O949" s="301"/>
      <c r="P949" s="301"/>
      <c r="Q949" s="301"/>
      <c r="R949" s="301"/>
      <c r="S949" s="301"/>
      <c r="T949" s="301"/>
      <c r="U949" s="301"/>
      <c r="V949" s="301"/>
      <c r="W949" s="301"/>
      <c r="X949" s="301"/>
      <c r="Y949" s="301"/>
      <c r="Z949" s="301"/>
      <c r="AA949" s="301"/>
      <c r="AB949" s="301"/>
      <c r="AC949" s="301"/>
      <c r="AD949" s="301"/>
      <c r="AE949" s="301"/>
      <c r="AH949" s="303"/>
      <c r="AI949" s="303"/>
      <c r="AJ949" s="303"/>
      <c r="AK949" s="303"/>
      <c r="AL949" s="303"/>
      <c r="AM949" s="303"/>
      <c r="AN949" s="303"/>
    </row>
    <row r="950" spans="7:40" s="302" customFormat="1" ht="11.75" customHeight="1" x14ac:dyDescent="0.15">
      <c r="G950" s="300"/>
      <c r="H950" s="301"/>
      <c r="I950" s="301"/>
      <c r="J950" s="301"/>
      <c r="K950" s="301"/>
      <c r="L950" s="301"/>
      <c r="M950" s="301"/>
      <c r="N950" s="301"/>
      <c r="O950" s="301"/>
      <c r="P950" s="301"/>
      <c r="Q950" s="301"/>
      <c r="R950" s="301"/>
      <c r="S950" s="301"/>
      <c r="T950" s="301"/>
      <c r="U950" s="301"/>
      <c r="V950" s="301"/>
      <c r="W950" s="301"/>
      <c r="X950" s="301"/>
      <c r="Y950" s="301"/>
      <c r="Z950" s="301"/>
      <c r="AA950" s="301"/>
      <c r="AB950" s="301"/>
      <c r="AC950" s="301"/>
      <c r="AD950" s="301"/>
      <c r="AE950" s="301"/>
      <c r="AH950" s="303"/>
      <c r="AI950" s="303"/>
      <c r="AJ950" s="303"/>
      <c r="AK950" s="303"/>
      <c r="AL950" s="303"/>
      <c r="AM950" s="303"/>
      <c r="AN950" s="303"/>
    </row>
    <row r="951" spans="7:40" s="302" customFormat="1" ht="11.75" customHeight="1" x14ac:dyDescent="0.15">
      <c r="G951" s="300"/>
      <c r="H951" s="301"/>
      <c r="I951" s="301"/>
      <c r="J951" s="301"/>
      <c r="K951" s="301"/>
      <c r="L951" s="301"/>
      <c r="M951" s="301"/>
      <c r="N951" s="301"/>
      <c r="O951" s="301"/>
      <c r="P951" s="301"/>
      <c r="Q951" s="301"/>
      <c r="R951" s="301"/>
      <c r="S951" s="301"/>
      <c r="T951" s="301"/>
      <c r="U951" s="301"/>
      <c r="V951" s="301"/>
      <c r="W951" s="301"/>
      <c r="X951" s="301"/>
      <c r="Y951" s="301"/>
      <c r="Z951" s="301"/>
      <c r="AA951" s="301"/>
      <c r="AB951" s="301"/>
      <c r="AC951" s="301"/>
      <c r="AD951" s="301"/>
      <c r="AE951" s="301"/>
      <c r="AH951" s="303"/>
      <c r="AI951" s="303"/>
      <c r="AJ951" s="303"/>
      <c r="AK951" s="303"/>
      <c r="AL951" s="303"/>
      <c r="AM951" s="303"/>
      <c r="AN951" s="303"/>
    </row>
    <row r="952" spans="7:40" s="302" customFormat="1" ht="11.75" customHeight="1" x14ac:dyDescent="0.15">
      <c r="G952" s="300"/>
      <c r="H952" s="301"/>
      <c r="I952" s="301"/>
      <c r="J952" s="301"/>
      <c r="K952" s="301"/>
      <c r="L952" s="301"/>
      <c r="M952" s="301"/>
      <c r="N952" s="301"/>
      <c r="O952" s="301"/>
      <c r="P952" s="301"/>
      <c r="Q952" s="301"/>
      <c r="R952" s="301"/>
      <c r="S952" s="301"/>
      <c r="T952" s="301"/>
      <c r="U952" s="301"/>
      <c r="V952" s="301"/>
      <c r="W952" s="301"/>
      <c r="X952" s="301"/>
      <c r="Y952" s="301"/>
      <c r="Z952" s="301"/>
      <c r="AA952" s="301"/>
      <c r="AB952" s="301"/>
      <c r="AC952" s="301"/>
      <c r="AD952" s="301"/>
      <c r="AE952" s="301"/>
      <c r="AH952" s="303"/>
      <c r="AI952" s="303"/>
      <c r="AJ952" s="303"/>
      <c r="AK952" s="303"/>
      <c r="AL952" s="303"/>
      <c r="AM952" s="303"/>
      <c r="AN952" s="303"/>
    </row>
    <row r="953" spans="7:40" s="302" customFormat="1" ht="11.75" customHeight="1" x14ac:dyDescent="0.15">
      <c r="G953" s="300"/>
      <c r="H953" s="301"/>
      <c r="I953" s="301"/>
      <c r="J953" s="301"/>
      <c r="K953" s="301"/>
      <c r="L953" s="301"/>
      <c r="M953" s="301"/>
      <c r="N953" s="301"/>
      <c r="O953" s="301"/>
      <c r="P953" s="301"/>
      <c r="Q953" s="301"/>
      <c r="R953" s="301"/>
      <c r="S953" s="301"/>
      <c r="T953" s="301"/>
      <c r="U953" s="301"/>
      <c r="V953" s="301"/>
      <c r="W953" s="301"/>
      <c r="X953" s="301"/>
      <c r="Y953" s="301"/>
      <c r="Z953" s="301"/>
      <c r="AA953" s="301"/>
      <c r="AB953" s="301"/>
      <c r="AC953" s="301"/>
      <c r="AD953" s="301"/>
      <c r="AE953" s="301"/>
      <c r="AH953" s="303"/>
      <c r="AI953" s="303"/>
      <c r="AJ953" s="303"/>
      <c r="AK953" s="303"/>
      <c r="AL953" s="303"/>
      <c r="AM953" s="303"/>
      <c r="AN953" s="303"/>
    </row>
    <row r="954" spans="7:40" s="302" customFormat="1" ht="11.75" customHeight="1" x14ac:dyDescent="0.15">
      <c r="G954" s="300"/>
      <c r="H954" s="301"/>
      <c r="I954" s="301"/>
      <c r="J954" s="301"/>
      <c r="K954" s="301"/>
      <c r="L954" s="301"/>
      <c r="M954" s="301"/>
      <c r="N954" s="301"/>
      <c r="O954" s="301"/>
      <c r="P954" s="301"/>
      <c r="Q954" s="301"/>
      <c r="R954" s="301"/>
      <c r="S954" s="301"/>
      <c r="T954" s="301"/>
      <c r="U954" s="301"/>
      <c r="V954" s="301"/>
      <c r="W954" s="301"/>
      <c r="X954" s="301"/>
      <c r="Y954" s="301"/>
      <c r="Z954" s="301"/>
      <c r="AA954" s="301"/>
      <c r="AB954" s="301"/>
      <c r="AC954" s="301"/>
      <c r="AD954" s="301"/>
      <c r="AE954" s="301"/>
      <c r="AH954" s="303"/>
      <c r="AI954" s="303"/>
      <c r="AJ954" s="303"/>
      <c r="AK954" s="303"/>
      <c r="AL954" s="303"/>
      <c r="AM954" s="303"/>
      <c r="AN954" s="303"/>
    </row>
    <row r="955" spans="7:40" s="302" customFormat="1" ht="11.75" customHeight="1" x14ac:dyDescent="0.15">
      <c r="G955" s="300"/>
      <c r="H955" s="301"/>
      <c r="I955" s="301"/>
      <c r="J955" s="301"/>
      <c r="K955" s="301"/>
      <c r="L955" s="301"/>
      <c r="M955" s="301"/>
      <c r="N955" s="301"/>
      <c r="O955" s="301"/>
      <c r="P955" s="301"/>
      <c r="Q955" s="301"/>
      <c r="R955" s="301"/>
      <c r="S955" s="301"/>
      <c r="T955" s="301"/>
      <c r="U955" s="301"/>
      <c r="V955" s="301"/>
      <c r="W955" s="301"/>
      <c r="X955" s="301"/>
      <c r="Y955" s="301"/>
      <c r="Z955" s="301"/>
      <c r="AA955" s="301"/>
      <c r="AB955" s="301"/>
      <c r="AC955" s="301"/>
      <c r="AD955" s="301"/>
      <c r="AE955" s="301"/>
      <c r="AH955" s="303"/>
      <c r="AI955" s="303"/>
      <c r="AJ955" s="303"/>
      <c r="AK955" s="303"/>
      <c r="AL955" s="303"/>
      <c r="AM955" s="303"/>
      <c r="AN955" s="303"/>
    </row>
    <row r="956" spans="7:40" s="302" customFormat="1" ht="11.75" customHeight="1" x14ac:dyDescent="0.15">
      <c r="G956" s="300"/>
      <c r="H956" s="301"/>
      <c r="I956" s="301"/>
      <c r="J956" s="301"/>
      <c r="K956" s="301"/>
      <c r="L956" s="301"/>
      <c r="M956" s="301"/>
      <c r="N956" s="301"/>
      <c r="O956" s="301"/>
      <c r="P956" s="301"/>
      <c r="Q956" s="301"/>
      <c r="R956" s="301"/>
      <c r="S956" s="301"/>
      <c r="T956" s="301"/>
      <c r="U956" s="301"/>
      <c r="V956" s="301"/>
      <c r="W956" s="301"/>
      <c r="X956" s="301"/>
      <c r="Y956" s="301"/>
      <c r="Z956" s="301"/>
      <c r="AA956" s="301"/>
      <c r="AB956" s="301"/>
      <c r="AC956" s="301"/>
      <c r="AD956" s="301"/>
      <c r="AE956" s="301"/>
      <c r="AH956" s="303"/>
      <c r="AI956" s="303"/>
      <c r="AJ956" s="303"/>
      <c r="AK956" s="303"/>
      <c r="AL956" s="303"/>
      <c r="AM956" s="303"/>
      <c r="AN956" s="303"/>
    </row>
    <row r="957" spans="7:40" s="302" customFormat="1" ht="11.75" customHeight="1" x14ac:dyDescent="0.15">
      <c r="G957" s="300"/>
      <c r="H957" s="301"/>
      <c r="I957" s="301"/>
      <c r="J957" s="301"/>
      <c r="K957" s="301"/>
      <c r="L957" s="301"/>
      <c r="M957" s="301"/>
      <c r="N957" s="301"/>
      <c r="O957" s="301"/>
      <c r="P957" s="301"/>
      <c r="Q957" s="301"/>
      <c r="R957" s="301"/>
      <c r="S957" s="301"/>
      <c r="T957" s="301"/>
      <c r="U957" s="301"/>
      <c r="V957" s="301"/>
      <c r="W957" s="301"/>
      <c r="X957" s="301"/>
      <c r="Y957" s="301"/>
      <c r="Z957" s="301"/>
      <c r="AA957" s="301"/>
      <c r="AB957" s="301"/>
      <c r="AC957" s="301"/>
      <c r="AD957" s="301"/>
      <c r="AE957" s="301"/>
      <c r="AH957" s="303"/>
      <c r="AI957" s="303"/>
      <c r="AJ957" s="303"/>
      <c r="AK957" s="303"/>
      <c r="AL957" s="303"/>
      <c r="AM957" s="303"/>
      <c r="AN957" s="303"/>
    </row>
    <row r="958" spans="7:40" s="302" customFormat="1" ht="11.75" customHeight="1" x14ac:dyDescent="0.15">
      <c r="G958" s="300"/>
      <c r="H958" s="301"/>
      <c r="I958" s="301"/>
      <c r="J958" s="301"/>
      <c r="K958" s="301"/>
      <c r="L958" s="301"/>
      <c r="M958" s="301"/>
      <c r="N958" s="301"/>
      <c r="O958" s="301"/>
      <c r="P958" s="301"/>
      <c r="Q958" s="301"/>
      <c r="R958" s="301"/>
      <c r="S958" s="301"/>
      <c r="T958" s="301"/>
      <c r="U958" s="301"/>
      <c r="V958" s="301"/>
      <c r="W958" s="301"/>
      <c r="X958" s="301"/>
      <c r="Y958" s="301"/>
      <c r="Z958" s="301"/>
      <c r="AA958" s="301"/>
      <c r="AB958" s="301"/>
      <c r="AC958" s="301"/>
      <c r="AD958" s="301"/>
      <c r="AE958" s="301"/>
      <c r="AH958" s="303"/>
      <c r="AI958" s="303"/>
      <c r="AJ958" s="303"/>
      <c r="AK958" s="303"/>
      <c r="AL958" s="303"/>
      <c r="AM958" s="303"/>
      <c r="AN958" s="303"/>
    </row>
    <row r="959" spans="7:40" s="302" customFormat="1" ht="11.75" customHeight="1" x14ac:dyDescent="0.15">
      <c r="G959" s="300"/>
      <c r="H959" s="301"/>
      <c r="I959" s="301"/>
      <c r="J959" s="301"/>
      <c r="K959" s="301"/>
      <c r="L959" s="301"/>
      <c r="M959" s="301"/>
      <c r="N959" s="301"/>
      <c r="O959" s="301"/>
      <c r="P959" s="301"/>
      <c r="Q959" s="301"/>
      <c r="R959" s="301"/>
      <c r="S959" s="301"/>
      <c r="T959" s="301"/>
      <c r="U959" s="301"/>
      <c r="V959" s="301"/>
      <c r="W959" s="301"/>
      <c r="X959" s="301"/>
      <c r="Y959" s="301"/>
      <c r="Z959" s="301"/>
      <c r="AA959" s="301"/>
      <c r="AB959" s="301"/>
      <c r="AC959" s="301"/>
      <c r="AD959" s="301"/>
      <c r="AE959" s="301"/>
      <c r="AH959" s="303"/>
      <c r="AI959" s="303"/>
      <c r="AJ959" s="303"/>
      <c r="AK959" s="303"/>
      <c r="AL959" s="303"/>
      <c r="AM959" s="303"/>
      <c r="AN959" s="303"/>
    </row>
    <row r="960" spans="7:40" s="302" customFormat="1" ht="11.75" customHeight="1" x14ac:dyDescent="0.15">
      <c r="G960" s="300"/>
      <c r="H960" s="301"/>
      <c r="I960" s="301"/>
      <c r="J960" s="301"/>
      <c r="K960" s="301"/>
      <c r="L960" s="301"/>
      <c r="M960" s="301"/>
      <c r="N960" s="301"/>
      <c r="O960" s="301"/>
      <c r="P960" s="301"/>
      <c r="Q960" s="301"/>
      <c r="R960" s="301"/>
      <c r="S960" s="301"/>
      <c r="T960" s="301"/>
      <c r="U960" s="301"/>
      <c r="V960" s="301"/>
      <c r="W960" s="301"/>
      <c r="X960" s="301"/>
      <c r="Y960" s="301"/>
      <c r="Z960" s="301"/>
      <c r="AA960" s="301"/>
      <c r="AB960" s="301"/>
      <c r="AC960" s="301"/>
      <c r="AD960" s="301"/>
      <c r="AE960" s="301"/>
      <c r="AH960" s="303"/>
      <c r="AI960" s="303"/>
      <c r="AJ960" s="303"/>
      <c r="AK960" s="303"/>
      <c r="AL960" s="303"/>
      <c r="AM960" s="303"/>
      <c r="AN960" s="303"/>
    </row>
    <row r="961" spans="7:40" s="302" customFormat="1" ht="11.75" customHeight="1" x14ac:dyDescent="0.15">
      <c r="G961" s="300"/>
      <c r="H961" s="301"/>
      <c r="I961" s="301"/>
      <c r="J961" s="301"/>
      <c r="K961" s="301"/>
      <c r="L961" s="301"/>
      <c r="M961" s="301"/>
      <c r="N961" s="301"/>
      <c r="O961" s="301"/>
      <c r="P961" s="301"/>
      <c r="Q961" s="301"/>
      <c r="R961" s="301"/>
      <c r="S961" s="301"/>
      <c r="T961" s="301"/>
      <c r="U961" s="301"/>
      <c r="V961" s="301"/>
      <c r="W961" s="301"/>
      <c r="X961" s="301"/>
      <c r="Y961" s="301"/>
      <c r="Z961" s="301"/>
      <c r="AA961" s="301"/>
      <c r="AB961" s="301"/>
      <c r="AC961" s="301"/>
      <c r="AD961" s="301"/>
      <c r="AE961" s="301"/>
      <c r="AH961" s="303"/>
      <c r="AI961" s="303"/>
      <c r="AJ961" s="303"/>
      <c r="AK961" s="303"/>
      <c r="AL961" s="303"/>
      <c r="AM961" s="303"/>
      <c r="AN961" s="303"/>
    </row>
    <row r="962" spans="7:40" s="302" customFormat="1" ht="11.75" customHeight="1" x14ac:dyDescent="0.15">
      <c r="G962" s="300"/>
      <c r="H962" s="301"/>
      <c r="I962" s="301"/>
      <c r="J962" s="301"/>
      <c r="K962" s="301"/>
      <c r="L962" s="301"/>
      <c r="M962" s="301"/>
      <c r="N962" s="301"/>
      <c r="O962" s="301"/>
      <c r="P962" s="301"/>
      <c r="Q962" s="301"/>
      <c r="R962" s="301"/>
      <c r="S962" s="301"/>
      <c r="T962" s="301"/>
      <c r="U962" s="301"/>
      <c r="V962" s="301"/>
      <c r="W962" s="301"/>
      <c r="X962" s="301"/>
      <c r="Y962" s="301"/>
      <c r="Z962" s="301"/>
      <c r="AA962" s="301"/>
      <c r="AB962" s="301"/>
      <c r="AC962" s="301"/>
      <c r="AD962" s="301"/>
      <c r="AE962" s="301"/>
      <c r="AH962" s="303"/>
      <c r="AI962" s="303"/>
      <c r="AJ962" s="303"/>
      <c r="AK962" s="303"/>
      <c r="AL962" s="303"/>
      <c r="AM962" s="303"/>
      <c r="AN962" s="303"/>
    </row>
    <row r="963" spans="7:40" s="302" customFormat="1" ht="11.75" customHeight="1" x14ac:dyDescent="0.15">
      <c r="G963" s="300"/>
      <c r="H963" s="301"/>
      <c r="I963" s="301"/>
      <c r="J963" s="301"/>
      <c r="K963" s="301"/>
      <c r="L963" s="301"/>
      <c r="M963" s="301"/>
      <c r="N963" s="301"/>
      <c r="O963" s="301"/>
      <c r="P963" s="301"/>
      <c r="Q963" s="301"/>
      <c r="R963" s="301"/>
      <c r="S963" s="301"/>
      <c r="T963" s="301"/>
      <c r="U963" s="301"/>
      <c r="V963" s="301"/>
      <c r="W963" s="301"/>
      <c r="X963" s="301"/>
      <c r="Y963" s="301"/>
      <c r="Z963" s="301"/>
      <c r="AA963" s="301"/>
      <c r="AB963" s="301"/>
      <c r="AC963" s="301"/>
      <c r="AD963" s="301"/>
      <c r="AE963" s="301"/>
      <c r="AH963" s="303"/>
      <c r="AI963" s="303"/>
      <c r="AJ963" s="303"/>
      <c r="AK963" s="303"/>
      <c r="AL963" s="303"/>
      <c r="AM963" s="303"/>
      <c r="AN963" s="303"/>
    </row>
    <row r="964" spans="7:40" s="302" customFormat="1" ht="11.75" customHeight="1" x14ac:dyDescent="0.15">
      <c r="G964" s="300"/>
      <c r="H964" s="301"/>
      <c r="I964" s="301"/>
      <c r="J964" s="301"/>
      <c r="K964" s="301"/>
      <c r="L964" s="301"/>
      <c r="M964" s="301"/>
      <c r="N964" s="301"/>
      <c r="O964" s="301"/>
      <c r="P964" s="301"/>
      <c r="Q964" s="301"/>
      <c r="R964" s="301"/>
      <c r="S964" s="301"/>
      <c r="T964" s="301"/>
      <c r="U964" s="301"/>
      <c r="V964" s="301"/>
      <c r="W964" s="301"/>
      <c r="X964" s="301"/>
      <c r="Y964" s="301"/>
      <c r="Z964" s="301"/>
      <c r="AA964" s="301"/>
      <c r="AB964" s="301"/>
      <c r="AC964" s="301"/>
      <c r="AD964" s="301"/>
      <c r="AE964" s="301"/>
      <c r="AH964" s="303"/>
      <c r="AI964" s="303"/>
      <c r="AJ964" s="303"/>
      <c r="AK964" s="303"/>
      <c r="AL964" s="303"/>
      <c r="AM964" s="303"/>
      <c r="AN964" s="303"/>
    </row>
    <row r="965" spans="7:40" s="302" customFormat="1" ht="11.75" customHeight="1" x14ac:dyDescent="0.15">
      <c r="G965" s="300"/>
      <c r="H965" s="301"/>
      <c r="I965" s="301"/>
      <c r="J965" s="301"/>
      <c r="K965" s="301"/>
      <c r="L965" s="301"/>
      <c r="M965" s="301"/>
      <c r="N965" s="301"/>
      <c r="O965" s="301"/>
      <c r="P965" s="301"/>
      <c r="Q965" s="301"/>
      <c r="R965" s="301"/>
      <c r="S965" s="301"/>
      <c r="T965" s="301"/>
      <c r="U965" s="301"/>
      <c r="V965" s="301"/>
      <c r="W965" s="301"/>
      <c r="X965" s="301"/>
      <c r="Y965" s="301"/>
      <c r="Z965" s="301"/>
      <c r="AA965" s="301"/>
      <c r="AB965" s="301"/>
      <c r="AC965" s="301"/>
      <c r="AD965" s="301"/>
      <c r="AE965" s="301"/>
      <c r="AH965" s="303"/>
      <c r="AI965" s="303"/>
      <c r="AJ965" s="303"/>
      <c r="AK965" s="303"/>
      <c r="AL965" s="303"/>
      <c r="AM965" s="303"/>
      <c r="AN965" s="303"/>
    </row>
    <row r="966" spans="7:40" s="302" customFormat="1" ht="11.75" customHeight="1" x14ac:dyDescent="0.15">
      <c r="G966" s="300"/>
      <c r="H966" s="301"/>
      <c r="I966" s="301"/>
      <c r="J966" s="301"/>
      <c r="K966" s="301"/>
      <c r="L966" s="301"/>
      <c r="M966" s="301"/>
      <c r="N966" s="301"/>
      <c r="O966" s="301"/>
      <c r="P966" s="301"/>
      <c r="Q966" s="301"/>
      <c r="R966" s="301"/>
      <c r="S966" s="301"/>
      <c r="T966" s="301"/>
      <c r="U966" s="301"/>
      <c r="V966" s="301"/>
      <c r="W966" s="301"/>
      <c r="X966" s="301"/>
      <c r="Y966" s="301"/>
      <c r="Z966" s="301"/>
      <c r="AA966" s="301"/>
      <c r="AB966" s="301"/>
      <c r="AC966" s="301"/>
      <c r="AD966" s="301"/>
      <c r="AE966" s="301"/>
      <c r="AH966" s="303"/>
      <c r="AI966" s="303"/>
      <c r="AJ966" s="303"/>
      <c r="AK966" s="303"/>
      <c r="AL966" s="303"/>
      <c r="AM966" s="303"/>
      <c r="AN966" s="303"/>
    </row>
    <row r="967" spans="7:40" s="302" customFormat="1" ht="11.75" customHeight="1" x14ac:dyDescent="0.15">
      <c r="G967" s="300"/>
      <c r="H967" s="301"/>
      <c r="I967" s="301"/>
      <c r="J967" s="301"/>
      <c r="K967" s="301"/>
      <c r="L967" s="301"/>
      <c r="M967" s="301"/>
      <c r="N967" s="301"/>
      <c r="O967" s="301"/>
      <c r="P967" s="301"/>
      <c r="Q967" s="301"/>
      <c r="R967" s="301"/>
      <c r="S967" s="301"/>
      <c r="T967" s="301"/>
      <c r="U967" s="301"/>
      <c r="V967" s="301"/>
      <c r="W967" s="301"/>
      <c r="X967" s="301"/>
      <c r="Y967" s="301"/>
      <c r="Z967" s="301"/>
      <c r="AA967" s="301"/>
      <c r="AB967" s="301"/>
      <c r="AC967" s="301"/>
      <c r="AD967" s="301"/>
      <c r="AE967" s="301"/>
      <c r="AH967" s="303"/>
      <c r="AI967" s="303"/>
      <c r="AJ967" s="303"/>
      <c r="AK967" s="303"/>
      <c r="AL967" s="303"/>
      <c r="AM967" s="303"/>
      <c r="AN967" s="303"/>
    </row>
    <row r="968" spans="7:40" s="302" customFormat="1" ht="11.75" customHeight="1" x14ac:dyDescent="0.15">
      <c r="G968" s="300"/>
      <c r="H968" s="301"/>
      <c r="I968" s="301"/>
      <c r="J968" s="301"/>
      <c r="K968" s="301"/>
      <c r="L968" s="301"/>
      <c r="M968" s="301"/>
      <c r="N968" s="301"/>
      <c r="O968" s="301"/>
      <c r="P968" s="301"/>
      <c r="Q968" s="301"/>
      <c r="R968" s="301"/>
      <c r="S968" s="301"/>
      <c r="T968" s="301"/>
      <c r="U968" s="301"/>
      <c r="V968" s="301"/>
      <c r="W968" s="301"/>
      <c r="X968" s="301"/>
      <c r="Y968" s="301"/>
      <c r="Z968" s="301"/>
      <c r="AA968" s="301"/>
      <c r="AB968" s="301"/>
      <c r="AC968" s="301"/>
      <c r="AD968" s="301"/>
      <c r="AE968" s="301"/>
      <c r="AH968" s="303"/>
      <c r="AI968" s="303"/>
      <c r="AJ968" s="303"/>
      <c r="AK968" s="303"/>
      <c r="AL968" s="303"/>
      <c r="AM968" s="303"/>
      <c r="AN968" s="303"/>
    </row>
    <row r="969" spans="7:40" s="302" customFormat="1" ht="11.75" customHeight="1" x14ac:dyDescent="0.15">
      <c r="G969" s="300"/>
      <c r="H969" s="301"/>
      <c r="I969" s="301"/>
      <c r="J969" s="301"/>
      <c r="K969" s="301"/>
      <c r="L969" s="301"/>
      <c r="M969" s="301"/>
      <c r="N969" s="301"/>
      <c r="O969" s="301"/>
      <c r="P969" s="301"/>
      <c r="Q969" s="301"/>
      <c r="R969" s="301"/>
      <c r="S969" s="301"/>
      <c r="T969" s="301"/>
      <c r="U969" s="301"/>
      <c r="V969" s="301"/>
      <c r="W969" s="301"/>
      <c r="X969" s="301"/>
      <c r="Y969" s="301"/>
      <c r="Z969" s="301"/>
      <c r="AA969" s="301"/>
      <c r="AB969" s="301"/>
      <c r="AC969" s="301"/>
      <c r="AD969" s="301"/>
      <c r="AE969" s="301"/>
      <c r="AH969" s="303"/>
      <c r="AI969" s="303"/>
      <c r="AJ969" s="303"/>
      <c r="AK969" s="303"/>
      <c r="AL969" s="303"/>
      <c r="AM969" s="303"/>
      <c r="AN969" s="303"/>
    </row>
    <row r="970" spans="7:40" s="302" customFormat="1" ht="11.75" customHeight="1" x14ac:dyDescent="0.15">
      <c r="G970" s="300"/>
      <c r="H970" s="301"/>
      <c r="I970" s="301"/>
      <c r="J970" s="301"/>
      <c r="K970" s="301"/>
      <c r="L970" s="301"/>
      <c r="M970" s="301"/>
      <c r="N970" s="301"/>
      <c r="O970" s="301"/>
      <c r="P970" s="301"/>
      <c r="Q970" s="301"/>
      <c r="R970" s="301"/>
      <c r="S970" s="301"/>
      <c r="T970" s="301"/>
      <c r="U970" s="301"/>
      <c r="V970" s="301"/>
      <c r="W970" s="301"/>
      <c r="X970" s="301"/>
      <c r="Y970" s="301"/>
      <c r="Z970" s="301"/>
      <c r="AA970" s="301"/>
      <c r="AB970" s="301"/>
      <c r="AC970" s="301"/>
      <c r="AD970" s="301"/>
      <c r="AE970" s="301"/>
      <c r="AH970" s="303"/>
      <c r="AI970" s="303"/>
      <c r="AJ970" s="303"/>
      <c r="AK970" s="303"/>
      <c r="AL970" s="303"/>
      <c r="AM970" s="303"/>
      <c r="AN970" s="303"/>
    </row>
    <row r="971" spans="7:40" s="302" customFormat="1" ht="11.75" customHeight="1" x14ac:dyDescent="0.15">
      <c r="G971" s="300"/>
      <c r="H971" s="301"/>
      <c r="I971" s="301"/>
      <c r="J971" s="301"/>
      <c r="K971" s="301"/>
      <c r="L971" s="301"/>
      <c r="M971" s="301"/>
      <c r="N971" s="301"/>
      <c r="O971" s="301"/>
      <c r="P971" s="301"/>
      <c r="Q971" s="301"/>
      <c r="R971" s="301"/>
      <c r="S971" s="301"/>
      <c r="T971" s="301"/>
      <c r="U971" s="301"/>
      <c r="V971" s="301"/>
      <c r="W971" s="301"/>
      <c r="X971" s="301"/>
      <c r="Y971" s="301"/>
      <c r="Z971" s="301"/>
      <c r="AA971" s="301"/>
      <c r="AB971" s="301"/>
      <c r="AC971" s="301"/>
      <c r="AD971" s="301"/>
      <c r="AE971" s="301"/>
      <c r="AH971" s="303"/>
      <c r="AI971" s="303"/>
      <c r="AJ971" s="303"/>
      <c r="AK971" s="303"/>
      <c r="AL971" s="303"/>
      <c r="AM971" s="303"/>
      <c r="AN971" s="303"/>
    </row>
    <row r="972" spans="7:40" s="302" customFormat="1" ht="11.75" customHeight="1" x14ac:dyDescent="0.15">
      <c r="G972" s="300"/>
      <c r="H972" s="301"/>
      <c r="I972" s="301"/>
      <c r="J972" s="301"/>
      <c r="K972" s="301"/>
      <c r="L972" s="301"/>
      <c r="M972" s="301"/>
      <c r="N972" s="301"/>
      <c r="O972" s="301"/>
      <c r="P972" s="301"/>
      <c r="Q972" s="301"/>
      <c r="R972" s="301"/>
      <c r="S972" s="301"/>
      <c r="T972" s="301"/>
      <c r="U972" s="301"/>
      <c r="V972" s="301"/>
      <c r="W972" s="301"/>
      <c r="X972" s="301"/>
      <c r="Y972" s="301"/>
      <c r="Z972" s="301"/>
      <c r="AA972" s="301"/>
      <c r="AB972" s="301"/>
      <c r="AC972" s="301"/>
      <c r="AD972" s="301"/>
      <c r="AE972" s="301"/>
      <c r="AH972" s="303"/>
      <c r="AI972" s="303"/>
      <c r="AJ972" s="303"/>
      <c r="AK972" s="303"/>
      <c r="AL972" s="303"/>
      <c r="AM972" s="303"/>
      <c r="AN972" s="303"/>
    </row>
    <row r="973" spans="7:40" s="302" customFormat="1" ht="11.75" customHeight="1" x14ac:dyDescent="0.15">
      <c r="G973" s="300"/>
      <c r="H973" s="301"/>
      <c r="I973" s="301"/>
      <c r="J973" s="301"/>
      <c r="K973" s="301"/>
      <c r="L973" s="301"/>
      <c r="M973" s="301"/>
      <c r="N973" s="301"/>
      <c r="O973" s="301"/>
      <c r="P973" s="301"/>
      <c r="Q973" s="301"/>
      <c r="R973" s="301"/>
      <c r="S973" s="301"/>
      <c r="T973" s="301"/>
      <c r="U973" s="301"/>
      <c r="V973" s="301"/>
      <c r="W973" s="301"/>
      <c r="X973" s="301"/>
      <c r="Y973" s="301"/>
      <c r="Z973" s="301"/>
      <c r="AA973" s="301"/>
      <c r="AB973" s="301"/>
      <c r="AC973" s="301"/>
      <c r="AD973" s="301"/>
      <c r="AE973" s="301"/>
      <c r="AH973" s="303"/>
      <c r="AI973" s="303"/>
      <c r="AJ973" s="303"/>
      <c r="AK973" s="303"/>
      <c r="AL973" s="303"/>
      <c r="AM973" s="303"/>
      <c r="AN973" s="303"/>
    </row>
    <row r="974" spans="7:40" s="302" customFormat="1" ht="11.75" customHeight="1" x14ac:dyDescent="0.15">
      <c r="G974" s="300"/>
      <c r="H974" s="301"/>
      <c r="I974" s="301"/>
      <c r="J974" s="301"/>
      <c r="K974" s="301"/>
      <c r="L974" s="301"/>
      <c r="M974" s="301"/>
      <c r="N974" s="301"/>
      <c r="O974" s="301"/>
      <c r="P974" s="301"/>
      <c r="Q974" s="301"/>
      <c r="R974" s="301"/>
      <c r="S974" s="301"/>
      <c r="T974" s="301"/>
      <c r="U974" s="301"/>
      <c r="V974" s="301"/>
      <c r="W974" s="301"/>
      <c r="X974" s="301"/>
      <c r="Y974" s="301"/>
      <c r="Z974" s="301"/>
      <c r="AA974" s="301"/>
      <c r="AB974" s="301"/>
      <c r="AC974" s="301"/>
      <c r="AD974" s="301"/>
      <c r="AE974" s="301"/>
      <c r="AH974" s="303"/>
      <c r="AI974" s="303"/>
      <c r="AJ974" s="303"/>
      <c r="AK974" s="303"/>
      <c r="AL974" s="303"/>
      <c r="AM974" s="303"/>
      <c r="AN974" s="303"/>
    </row>
    <row r="975" spans="7:40" s="302" customFormat="1" ht="11.75" customHeight="1" x14ac:dyDescent="0.15">
      <c r="G975" s="300"/>
      <c r="H975" s="301"/>
      <c r="I975" s="301"/>
      <c r="J975" s="301"/>
      <c r="K975" s="301"/>
      <c r="L975" s="301"/>
      <c r="M975" s="301"/>
      <c r="N975" s="301"/>
      <c r="O975" s="301"/>
      <c r="P975" s="301"/>
      <c r="Q975" s="301"/>
      <c r="R975" s="301"/>
      <c r="S975" s="301"/>
      <c r="T975" s="301"/>
      <c r="U975" s="301"/>
      <c r="V975" s="301"/>
      <c r="W975" s="301"/>
      <c r="X975" s="301"/>
      <c r="Y975" s="301"/>
      <c r="Z975" s="301"/>
      <c r="AA975" s="301"/>
      <c r="AB975" s="301"/>
      <c r="AC975" s="301"/>
      <c r="AD975" s="301"/>
      <c r="AE975" s="301"/>
      <c r="AH975" s="303"/>
      <c r="AI975" s="303"/>
      <c r="AJ975" s="303"/>
      <c r="AK975" s="303"/>
      <c r="AL975" s="303"/>
      <c r="AM975" s="303"/>
      <c r="AN975" s="303"/>
    </row>
    <row r="976" spans="7:40" s="302" customFormat="1" ht="11.75" customHeight="1" x14ac:dyDescent="0.15">
      <c r="G976" s="300"/>
      <c r="H976" s="301"/>
      <c r="I976" s="301"/>
      <c r="J976" s="301"/>
      <c r="K976" s="301"/>
      <c r="L976" s="301"/>
      <c r="M976" s="301"/>
      <c r="N976" s="301"/>
      <c r="O976" s="301"/>
      <c r="P976" s="301"/>
      <c r="Q976" s="301"/>
      <c r="R976" s="301"/>
      <c r="S976" s="301"/>
      <c r="T976" s="301"/>
      <c r="U976" s="301"/>
      <c r="V976" s="301"/>
      <c r="W976" s="301"/>
      <c r="X976" s="301"/>
      <c r="Y976" s="301"/>
      <c r="Z976" s="301"/>
      <c r="AA976" s="301"/>
      <c r="AB976" s="301"/>
      <c r="AC976" s="301"/>
      <c r="AD976" s="301"/>
      <c r="AE976" s="301"/>
      <c r="AH976" s="303"/>
      <c r="AI976" s="303"/>
      <c r="AJ976" s="303"/>
      <c r="AK976" s="303"/>
      <c r="AL976" s="303"/>
      <c r="AM976" s="303"/>
      <c r="AN976" s="303"/>
    </row>
    <row r="977" spans="7:40" s="302" customFormat="1" ht="11.75" customHeight="1" x14ac:dyDescent="0.15">
      <c r="G977" s="300"/>
      <c r="H977" s="301"/>
      <c r="I977" s="301"/>
      <c r="J977" s="301"/>
      <c r="K977" s="301"/>
      <c r="L977" s="301"/>
      <c r="M977" s="301"/>
      <c r="N977" s="301"/>
      <c r="O977" s="301"/>
      <c r="P977" s="301"/>
      <c r="Q977" s="301"/>
      <c r="R977" s="301"/>
      <c r="S977" s="301"/>
      <c r="T977" s="301"/>
      <c r="U977" s="301"/>
      <c r="V977" s="301"/>
      <c r="W977" s="301"/>
      <c r="X977" s="301"/>
      <c r="Y977" s="301"/>
      <c r="Z977" s="301"/>
      <c r="AA977" s="301"/>
      <c r="AB977" s="301"/>
      <c r="AC977" s="301"/>
      <c r="AD977" s="301"/>
      <c r="AE977" s="301"/>
      <c r="AH977" s="303"/>
      <c r="AI977" s="303"/>
      <c r="AJ977" s="303"/>
      <c r="AK977" s="303"/>
      <c r="AL977" s="303"/>
      <c r="AM977" s="303"/>
      <c r="AN977" s="303"/>
    </row>
    <row r="978" spans="7:40" s="302" customFormat="1" ht="11.75" customHeight="1" x14ac:dyDescent="0.15">
      <c r="G978" s="300"/>
      <c r="H978" s="301"/>
      <c r="I978" s="301"/>
      <c r="J978" s="301"/>
      <c r="K978" s="301"/>
      <c r="L978" s="301"/>
      <c r="M978" s="301"/>
      <c r="N978" s="301"/>
      <c r="O978" s="301"/>
      <c r="P978" s="301"/>
      <c r="Q978" s="301"/>
      <c r="R978" s="301"/>
      <c r="S978" s="301"/>
      <c r="T978" s="301"/>
      <c r="U978" s="301"/>
      <c r="V978" s="301"/>
      <c r="W978" s="301"/>
      <c r="X978" s="301"/>
      <c r="Y978" s="301"/>
      <c r="Z978" s="301"/>
      <c r="AA978" s="301"/>
      <c r="AB978" s="301"/>
      <c r="AC978" s="301"/>
      <c r="AD978" s="301"/>
      <c r="AE978" s="301"/>
      <c r="AH978" s="303"/>
      <c r="AI978" s="303"/>
      <c r="AJ978" s="303"/>
      <c r="AK978" s="303"/>
      <c r="AL978" s="303"/>
      <c r="AM978" s="303"/>
      <c r="AN978" s="303"/>
    </row>
    <row r="979" spans="7:40" s="302" customFormat="1" ht="11.75" customHeight="1" x14ac:dyDescent="0.15">
      <c r="G979" s="300"/>
      <c r="H979" s="301"/>
      <c r="I979" s="301"/>
      <c r="J979" s="301"/>
      <c r="K979" s="301"/>
      <c r="L979" s="301"/>
      <c r="M979" s="301"/>
      <c r="N979" s="301"/>
      <c r="O979" s="301"/>
      <c r="P979" s="301"/>
      <c r="Q979" s="301"/>
      <c r="R979" s="301"/>
      <c r="S979" s="301"/>
      <c r="T979" s="301"/>
      <c r="U979" s="301"/>
      <c r="V979" s="301"/>
      <c r="W979" s="301"/>
      <c r="X979" s="301"/>
      <c r="Y979" s="301"/>
      <c r="Z979" s="301"/>
      <c r="AA979" s="301"/>
      <c r="AB979" s="301"/>
      <c r="AC979" s="301"/>
      <c r="AD979" s="301"/>
      <c r="AE979" s="301"/>
      <c r="AH979" s="303"/>
      <c r="AI979" s="303"/>
      <c r="AJ979" s="303"/>
      <c r="AK979" s="303"/>
      <c r="AL979" s="303"/>
      <c r="AM979" s="303"/>
      <c r="AN979" s="303"/>
    </row>
    <row r="980" spans="7:40" s="302" customFormat="1" ht="11.75" customHeight="1" x14ac:dyDescent="0.15">
      <c r="G980" s="300"/>
      <c r="H980" s="301"/>
      <c r="I980" s="301"/>
      <c r="J980" s="301"/>
      <c r="K980" s="301"/>
      <c r="L980" s="301"/>
      <c r="M980" s="301"/>
      <c r="N980" s="301"/>
      <c r="O980" s="301"/>
      <c r="P980" s="301"/>
      <c r="Q980" s="301"/>
      <c r="R980" s="301"/>
      <c r="S980" s="301"/>
      <c r="T980" s="301"/>
      <c r="U980" s="301"/>
      <c r="V980" s="301"/>
      <c r="W980" s="301"/>
      <c r="X980" s="301"/>
      <c r="Y980" s="301"/>
      <c r="Z980" s="301"/>
      <c r="AA980" s="301"/>
      <c r="AB980" s="301"/>
      <c r="AC980" s="301"/>
      <c r="AD980" s="301"/>
      <c r="AE980" s="301"/>
      <c r="AH980" s="303"/>
      <c r="AI980" s="303"/>
      <c r="AJ980" s="303"/>
      <c r="AK980" s="303"/>
      <c r="AL980" s="303"/>
      <c r="AM980" s="303"/>
      <c r="AN980" s="303"/>
    </row>
    <row r="981" spans="7:40" s="302" customFormat="1" ht="11.75" customHeight="1" x14ac:dyDescent="0.15">
      <c r="G981" s="300"/>
      <c r="H981" s="301"/>
      <c r="I981" s="301"/>
      <c r="J981" s="301"/>
      <c r="K981" s="301"/>
      <c r="L981" s="301"/>
      <c r="M981" s="301"/>
      <c r="N981" s="301"/>
      <c r="O981" s="301"/>
      <c r="P981" s="301"/>
      <c r="Q981" s="301"/>
      <c r="R981" s="301"/>
      <c r="S981" s="301"/>
      <c r="T981" s="301"/>
      <c r="U981" s="301"/>
      <c r="V981" s="301"/>
      <c r="W981" s="301"/>
      <c r="X981" s="301"/>
      <c r="Y981" s="301"/>
      <c r="Z981" s="301"/>
      <c r="AA981" s="301"/>
      <c r="AB981" s="301"/>
      <c r="AC981" s="301"/>
      <c r="AD981" s="301"/>
      <c r="AE981" s="301"/>
      <c r="AH981" s="303"/>
      <c r="AI981" s="303"/>
      <c r="AJ981" s="303"/>
      <c r="AK981" s="303"/>
      <c r="AL981" s="303"/>
      <c r="AM981" s="303"/>
      <c r="AN981" s="303"/>
    </row>
    <row r="982" spans="7:40" s="302" customFormat="1" ht="11.75" customHeight="1" x14ac:dyDescent="0.15">
      <c r="G982" s="300"/>
      <c r="H982" s="301"/>
      <c r="I982" s="301"/>
      <c r="J982" s="301"/>
      <c r="K982" s="301"/>
      <c r="L982" s="301"/>
      <c r="M982" s="301"/>
      <c r="N982" s="301"/>
      <c r="O982" s="301"/>
      <c r="P982" s="301"/>
      <c r="Q982" s="301"/>
      <c r="R982" s="301"/>
      <c r="S982" s="301"/>
      <c r="T982" s="301"/>
      <c r="U982" s="301"/>
      <c r="V982" s="301"/>
      <c r="W982" s="301"/>
      <c r="X982" s="301"/>
      <c r="Y982" s="301"/>
      <c r="Z982" s="301"/>
      <c r="AA982" s="301"/>
      <c r="AB982" s="301"/>
      <c r="AC982" s="301"/>
      <c r="AD982" s="301"/>
      <c r="AE982" s="301"/>
      <c r="AH982" s="303"/>
      <c r="AI982" s="303"/>
      <c r="AJ982" s="303"/>
      <c r="AK982" s="303"/>
      <c r="AL982" s="303"/>
      <c r="AM982" s="303"/>
      <c r="AN982" s="303"/>
    </row>
    <row r="983" spans="7:40" s="302" customFormat="1" ht="11.75" customHeight="1" x14ac:dyDescent="0.15">
      <c r="G983" s="300"/>
      <c r="H983" s="301"/>
      <c r="I983" s="301"/>
      <c r="J983" s="301"/>
      <c r="K983" s="301"/>
      <c r="L983" s="301"/>
      <c r="M983" s="301"/>
      <c r="N983" s="301"/>
      <c r="O983" s="301"/>
      <c r="P983" s="301"/>
      <c r="Q983" s="301"/>
      <c r="R983" s="301"/>
      <c r="S983" s="301"/>
      <c r="T983" s="301"/>
      <c r="U983" s="301"/>
      <c r="V983" s="301"/>
      <c r="W983" s="301"/>
      <c r="X983" s="301"/>
      <c r="Y983" s="301"/>
      <c r="Z983" s="301"/>
      <c r="AA983" s="301"/>
      <c r="AB983" s="301"/>
      <c r="AC983" s="301"/>
      <c r="AD983" s="301"/>
      <c r="AE983" s="301"/>
      <c r="AH983" s="303"/>
      <c r="AI983" s="303"/>
      <c r="AJ983" s="303"/>
      <c r="AK983" s="303"/>
      <c r="AL983" s="303"/>
      <c r="AM983" s="303"/>
      <c r="AN983" s="303"/>
    </row>
    <row r="984" spans="7:40" s="302" customFormat="1" ht="11.75" customHeight="1" x14ac:dyDescent="0.15">
      <c r="G984" s="300"/>
      <c r="H984" s="301"/>
      <c r="I984" s="301"/>
      <c r="J984" s="301"/>
      <c r="K984" s="301"/>
      <c r="L984" s="301"/>
      <c r="M984" s="301"/>
      <c r="N984" s="301"/>
      <c r="O984" s="301"/>
      <c r="P984" s="301"/>
      <c r="Q984" s="301"/>
      <c r="R984" s="301"/>
      <c r="S984" s="301"/>
      <c r="T984" s="301"/>
      <c r="U984" s="301"/>
      <c r="V984" s="301"/>
      <c r="W984" s="301"/>
      <c r="X984" s="301"/>
      <c r="Y984" s="301"/>
      <c r="Z984" s="301"/>
      <c r="AA984" s="301"/>
      <c r="AB984" s="301"/>
      <c r="AC984" s="301"/>
      <c r="AD984" s="301"/>
      <c r="AE984" s="301"/>
      <c r="AH984" s="303"/>
      <c r="AI984" s="303"/>
      <c r="AJ984" s="303"/>
      <c r="AK984" s="303"/>
      <c r="AL984" s="303"/>
      <c r="AM984" s="303"/>
      <c r="AN984" s="303"/>
    </row>
    <row r="985" spans="7:40" s="302" customFormat="1" ht="11.75" customHeight="1" x14ac:dyDescent="0.15">
      <c r="G985" s="300"/>
      <c r="H985" s="301"/>
      <c r="I985" s="301"/>
      <c r="J985" s="301"/>
      <c r="K985" s="301"/>
      <c r="L985" s="301"/>
      <c r="M985" s="301"/>
      <c r="N985" s="301"/>
      <c r="O985" s="301"/>
      <c r="P985" s="301"/>
      <c r="Q985" s="301"/>
      <c r="R985" s="301"/>
      <c r="S985" s="301"/>
      <c r="T985" s="301"/>
      <c r="U985" s="301"/>
      <c r="V985" s="301"/>
      <c r="W985" s="301"/>
      <c r="X985" s="301"/>
      <c r="Y985" s="301"/>
      <c r="Z985" s="301"/>
      <c r="AA985" s="301"/>
      <c r="AB985" s="301"/>
      <c r="AC985" s="301"/>
      <c r="AD985" s="301"/>
      <c r="AE985" s="301"/>
      <c r="AH985" s="303"/>
      <c r="AI985" s="303"/>
      <c r="AJ985" s="303"/>
      <c r="AK985" s="303"/>
      <c r="AL985" s="303"/>
      <c r="AM985" s="303"/>
      <c r="AN985" s="303"/>
    </row>
    <row r="986" spans="7:40" s="302" customFormat="1" ht="11.75" customHeight="1" x14ac:dyDescent="0.15">
      <c r="G986" s="300"/>
      <c r="H986" s="301"/>
      <c r="I986" s="301"/>
      <c r="J986" s="301"/>
      <c r="K986" s="301"/>
      <c r="L986" s="301"/>
      <c r="M986" s="301"/>
      <c r="N986" s="301"/>
      <c r="O986" s="301"/>
      <c r="P986" s="301"/>
      <c r="Q986" s="301"/>
      <c r="R986" s="301"/>
      <c r="S986" s="301"/>
      <c r="T986" s="301"/>
      <c r="U986" s="301"/>
      <c r="V986" s="301"/>
      <c r="W986" s="301"/>
      <c r="X986" s="301"/>
      <c r="Y986" s="301"/>
      <c r="Z986" s="301"/>
      <c r="AA986" s="301"/>
      <c r="AB986" s="301"/>
      <c r="AC986" s="301"/>
      <c r="AD986" s="301"/>
      <c r="AE986" s="301"/>
      <c r="AH986" s="303"/>
      <c r="AI986" s="303"/>
      <c r="AJ986" s="303"/>
      <c r="AK986" s="303"/>
      <c r="AL986" s="303"/>
      <c r="AM986" s="303"/>
      <c r="AN986" s="303"/>
    </row>
    <row r="987" spans="7:40" s="302" customFormat="1" ht="11.75" customHeight="1" x14ac:dyDescent="0.15">
      <c r="G987" s="300"/>
      <c r="H987" s="301"/>
      <c r="I987" s="301"/>
      <c r="J987" s="301"/>
      <c r="K987" s="301"/>
      <c r="L987" s="301"/>
      <c r="M987" s="301"/>
      <c r="N987" s="301"/>
      <c r="O987" s="301"/>
      <c r="P987" s="301"/>
      <c r="Q987" s="301"/>
      <c r="R987" s="301"/>
      <c r="S987" s="301"/>
      <c r="T987" s="301"/>
      <c r="U987" s="301"/>
      <c r="V987" s="301"/>
      <c r="W987" s="301"/>
      <c r="X987" s="301"/>
      <c r="Y987" s="301"/>
      <c r="Z987" s="301"/>
      <c r="AA987" s="301"/>
      <c r="AB987" s="301"/>
      <c r="AC987" s="301"/>
      <c r="AD987" s="301"/>
      <c r="AE987" s="301"/>
      <c r="AH987" s="303"/>
      <c r="AI987" s="303"/>
      <c r="AJ987" s="303"/>
      <c r="AK987" s="303"/>
      <c r="AL987" s="303"/>
      <c r="AM987" s="303"/>
      <c r="AN987" s="303"/>
    </row>
    <row r="988" spans="7:40" s="302" customFormat="1" ht="11.75" customHeight="1" x14ac:dyDescent="0.15">
      <c r="G988" s="300"/>
      <c r="H988" s="301"/>
      <c r="I988" s="301"/>
      <c r="J988" s="301"/>
      <c r="K988" s="301"/>
      <c r="L988" s="301"/>
      <c r="M988" s="301"/>
      <c r="N988" s="301"/>
      <c r="O988" s="301"/>
      <c r="P988" s="301"/>
      <c r="Q988" s="301"/>
      <c r="R988" s="301"/>
      <c r="S988" s="301"/>
      <c r="T988" s="301"/>
      <c r="U988" s="301"/>
      <c r="V988" s="301"/>
      <c r="W988" s="301"/>
      <c r="X988" s="301"/>
      <c r="Y988" s="301"/>
      <c r="Z988" s="301"/>
      <c r="AA988" s="301"/>
      <c r="AB988" s="301"/>
      <c r="AC988" s="301"/>
      <c r="AD988" s="301"/>
      <c r="AE988" s="301"/>
      <c r="AH988" s="303"/>
      <c r="AI988" s="303"/>
      <c r="AJ988" s="303"/>
      <c r="AK988" s="303"/>
      <c r="AL988" s="303"/>
      <c r="AM988" s="303"/>
      <c r="AN988" s="303"/>
    </row>
    <row r="989" spans="7:40" s="302" customFormat="1" ht="11.75" customHeight="1" x14ac:dyDescent="0.15">
      <c r="G989" s="300"/>
      <c r="H989" s="301"/>
      <c r="I989" s="301"/>
      <c r="J989" s="301"/>
      <c r="K989" s="301"/>
      <c r="L989" s="301"/>
      <c r="M989" s="301"/>
      <c r="N989" s="301"/>
      <c r="O989" s="301"/>
      <c r="P989" s="301"/>
      <c r="Q989" s="301"/>
      <c r="R989" s="301"/>
      <c r="S989" s="301"/>
      <c r="T989" s="301"/>
      <c r="U989" s="301"/>
      <c r="V989" s="301"/>
      <c r="W989" s="301"/>
      <c r="X989" s="301"/>
      <c r="Y989" s="301"/>
      <c r="Z989" s="301"/>
      <c r="AA989" s="301"/>
      <c r="AB989" s="301"/>
      <c r="AC989" s="301"/>
      <c r="AD989" s="301"/>
      <c r="AE989" s="301"/>
      <c r="AH989" s="303"/>
      <c r="AI989" s="303"/>
      <c r="AJ989" s="303"/>
      <c r="AK989" s="303"/>
      <c r="AL989" s="303"/>
      <c r="AM989" s="303"/>
      <c r="AN989" s="303"/>
    </row>
    <row r="990" spans="7:40" s="302" customFormat="1" ht="11.75" customHeight="1" x14ac:dyDescent="0.15">
      <c r="G990" s="300"/>
      <c r="H990" s="301"/>
      <c r="I990" s="301"/>
      <c r="J990" s="301"/>
      <c r="K990" s="301"/>
      <c r="L990" s="301"/>
      <c r="M990" s="301"/>
      <c r="N990" s="301"/>
      <c r="O990" s="301"/>
      <c r="P990" s="301"/>
      <c r="Q990" s="301"/>
      <c r="R990" s="301"/>
      <c r="S990" s="301"/>
      <c r="T990" s="301"/>
      <c r="U990" s="301"/>
      <c r="V990" s="301"/>
      <c r="W990" s="301"/>
      <c r="X990" s="301"/>
      <c r="Y990" s="301"/>
      <c r="Z990" s="301"/>
      <c r="AA990" s="301"/>
      <c r="AB990" s="301"/>
      <c r="AC990" s="301"/>
      <c r="AD990" s="301"/>
      <c r="AE990" s="301"/>
      <c r="AH990" s="303"/>
      <c r="AI990" s="303"/>
      <c r="AJ990" s="303"/>
      <c r="AK990" s="303"/>
      <c r="AL990" s="303"/>
      <c r="AM990" s="303"/>
      <c r="AN990" s="303"/>
    </row>
    <row r="991" spans="7:40" s="302" customFormat="1" ht="11.75" customHeight="1" x14ac:dyDescent="0.15">
      <c r="G991" s="300"/>
      <c r="H991" s="301"/>
      <c r="I991" s="301"/>
      <c r="J991" s="301"/>
      <c r="K991" s="301"/>
      <c r="L991" s="301"/>
      <c r="M991" s="301"/>
      <c r="N991" s="301"/>
      <c r="O991" s="301"/>
      <c r="P991" s="301"/>
      <c r="Q991" s="301"/>
      <c r="R991" s="301"/>
      <c r="S991" s="301"/>
      <c r="T991" s="301"/>
      <c r="U991" s="301"/>
      <c r="V991" s="301"/>
      <c r="W991" s="301"/>
      <c r="X991" s="301"/>
      <c r="Y991" s="301"/>
      <c r="Z991" s="301"/>
      <c r="AA991" s="301"/>
      <c r="AB991" s="301"/>
      <c r="AC991" s="301"/>
      <c r="AD991" s="301"/>
      <c r="AE991" s="301"/>
      <c r="AH991" s="303"/>
      <c r="AI991" s="303"/>
      <c r="AJ991" s="303"/>
      <c r="AK991" s="303"/>
      <c r="AL991" s="303"/>
      <c r="AM991" s="303"/>
      <c r="AN991" s="303"/>
    </row>
    <row r="992" spans="7:40" s="302" customFormat="1" ht="11.75" customHeight="1" x14ac:dyDescent="0.15">
      <c r="G992" s="300"/>
      <c r="H992" s="301"/>
      <c r="I992" s="301"/>
      <c r="J992" s="301"/>
      <c r="K992" s="301"/>
      <c r="L992" s="301"/>
      <c r="M992" s="301"/>
      <c r="N992" s="301"/>
      <c r="O992" s="301"/>
      <c r="P992" s="301"/>
      <c r="Q992" s="301"/>
      <c r="R992" s="301"/>
      <c r="S992" s="301"/>
      <c r="T992" s="301"/>
      <c r="U992" s="301"/>
      <c r="V992" s="301"/>
      <c r="W992" s="301"/>
      <c r="X992" s="301"/>
      <c r="Y992" s="301"/>
      <c r="Z992" s="301"/>
      <c r="AA992" s="301"/>
      <c r="AB992" s="301"/>
      <c r="AC992" s="301"/>
      <c r="AD992" s="301"/>
      <c r="AE992" s="301"/>
      <c r="AH992" s="303"/>
      <c r="AI992" s="303"/>
      <c r="AJ992" s="303"/>
      <c r="AK992" s="303"/>
      <c r="AL992" s="303"/>
      <c r="AM992" s="303"/>
      <c r="AN992" s="303"/>
    </row>
    <row r="993" spans="7:40" s="302" customFormat="1" ht="11.75" customHeight="1" x14ac:dyDescent="0.15">
      <c r="G993" s="300"/>
      <c r="H993" s="301"/>
      <c r="I993" s="301"/>
      <c r="J993" s="301"/>
      <c r="K993" s="301"/>
      <c r="L993" s="301"/>
      <c r="M993" s="301"/>
      <c r="N993" s="301"/>
      <c r="O993" s="301"/>
      <c r="P993" s="301"/>
      <c r="Q993" s="301"/>
      <c r="R993" s="301"/>
      <c r="S993" s="301"/>
      <c r="T993" s="301"/>
      <c r="U993" s="301"/>
      <c r="V993" s="301"/>
      <c r="W993" s="301"/>
      <c r="X993" s="301"/>
      <c r="Y993" s="301"/>
      <c r="Z993" s="301"/>
      <c r="AA993" s="301"/>
      <c r="AB993" s="301"/>
      <c r="AC993" s="301"/>
      <c r="AD993" s="301"/>
      <c r="AE993" s="301"/>
      <c r="AH993" s="303"/>
      <c r="AI993" s="303"/>
      <c r="AJ993" s="303"/>
      <c r="AK993" s="303"/>
      <c r="AL993" s="303"/>
      <c r="AM993" s="303"/>
      <c r="AN993" s="303"/>
    </row>
    <row r="994" spans="7:40" s="302" customFormat="1" ht="11.75" customHeight="1" x14ac:dyDescent="0.15">
      <c r="G994" s="300"/>
      <c r="H994" s="301"/>
      <c r="I994" s="301"/>
      <c r="J994" s="301"/>
      <c r="K994" s="301"/>
      <c r="L994" s="301"/>
      <c r="M994" s="301"/>
      <c r="N994" s="301"/>
      <c r="O994" s="301"/>
      <c r="P994" s="301"/>
      <c r="Q994" s="301"/>
      <c r="R994" s="301"/>
      <c r="S994" s="301"/>
      <c r="T994" s="301"/>
      <c r="U994" s="301"/>
      <c r="V994" s="301"/>
      <c r="W994" s="301"/>
      <c r="X994" s="301"/>
      <c r="Y994" s="301"/>
      <c r="Z994" s="301"/>
      <c r="AA994" s="301"/>
      <c r="AB994" s="301"/>
      <c r="AC994" s="301"/>
      <c r="AD994" s="301"/>
      <c r="AE994" s="301"/>
      <c r="AH994" s="303"/>
      <c r="AI994" s="303"/>
      <c r="AJ994" s="303"/>
      <c r="AK994" s="303"/>
      <c r="AL994" s="303"/>
      <c r="AM994" s="303"/>
      <c r="AN994" s="303"/>
    </row>
    <row r="995" spans="7:40" s="302" customFormat="1" ht="11.75" customHeight="1" x14ac:dyDescent="0.15">
      <c r="G995" s="300"/>
      <c r="H995" s="301"/>
      <c r="I995" s="301"/>
      <c r="J995" s="301"/>
      <c r="K995" s="301"/>
      <c r="L995" s="301"/>
      <c r="M995" s="301"/>
      <c r="N995" s="301"/>
      <c r="O995" s="301"/>
      <c r="P995" s="301"/>
      <c r="Q995" s="301"/>
      <c r="R995" s="301"/>
      <c r="S995" s="301"/>
      <c r="T995" s="301"/>
      <c r="U995" s="301"/>
      <c r="V995" s="301"/>
      <c r="W995" s="301"/>
      <c r="X995" s="301"/>
      <c r="Y995" s="301"/>
      <c r="Z995" s="301"/>
      <c r="AA995" s="301"/>
      <c r="AB995" s="301"/>
      <c r="AC995" s="301"/>
      <c r="AD995" s="301"/>
      <c r="AE995" s="301"/>
      <c r="AH995" s="303"/>
      <c r="AI995" s="303"/>
      <c r="AJ995" s="303"/>
      <c r="AK995" s="303"/>
      <c r="AL995" s="303"/>
      <c r="AM995" s="303"/>
      <c r="AN995" s="303"/>
    </row>
    <row r="996" spans="7:40" s="302" customFormat="1" ht="11.75" customHeight="1" x14ac:dyDescent="0.15">
      <c r="G996" s="300"/>
      <c r="H996" s="301"/>
      <c r="I996" s="301"/>
      <c r="J996" s="301"/>
      <c r="K996" s="301"/>
      <c r="L996" s="301"/>
      <c r="M996" s="301"/>
      <c r="N996" s="301"/>
      <c r="O996" s="301"/>
      <c r="P996" s="301"/>
      <c r="Q996" s="301"/>
      <c r="R996" s="301"/>
      <c r="S996" s="301"/>
      <c r="T996" s="301"/>
      <c r="U996" s="301"/>
      <c r="V996" s="301"/>
      <c r="W996" s="301"/>
      <c r="X996" s="301"/>
      <c r="Y996" s="301"/>
      <c r="Z996" s="301"/>
      <c r="AA996" s="301"/>
      <c r="AB996" s="301"/>
      <c r="AC996" s="301"/>
      <c r="AD996" s="301"/>
      <c r="AE996" s="301"/>
      <c r="AH996" s="303"/>
      <c r="AI996" s="303"/>
      <c r="AJ996" s="303"/>
      <c r="AK996" s="303"/>
      <c r="AL996" s="303"/>
      <c r="AM996" s="303"/>
      <c r="AN996" s="303"/>
    </row>
    <row r="997" spans="7:40" s="302" customFormat="1" ht="11.75" customHeight="1" x14ac:dyDescent="0.15">
      <c r="G997" s="300"/>
      <c r="H997" s="301"/>
      <c r="I997" s="301"/>
      <c r="J997" s="301"/>
      <c r="K997" s="301"/>
      <c r="L997" s="301"/>
      <c r="M997" s="301"/>
      <c r="N997" s="301"/>
      <c r="O997" s="301"/>
      <c r="P997" s="301"/>
      <c r="Q997" s="301"/>
      <c r="R997" s="301"/>
      <c r="S997" s="301"/>
      <c r="T997" s="301"/>
      <c r="U997" s="301"/>
      <c r="V997" s="301"/>
      <c r="W997" s="301"/>
      <c r="X997" s="301"/>
      <c r="Y997" s="301"/>
      <c r="Z997" s="301"/>
      <c r="AA997" s="301"/>
      <c r="AB997" s="301"/>
      <c r="AC997" s="301"/>
      <c r="AD997" s="301"/>
      <c r="AE997" s="301"/>
      <c r="AH997" s="303"/>
      <c r="AI997" s="303"/>
      <c r="AJ997" s="303"/>
      <c r="AK997" s="303"/>
      <c r="AL997" s="303"/>
      <c r="AM997" s="303"/>
      <c r="AN997" s="303"/>
    </row>
    <row r="998" spans="7:40" s="302" customFormat="1" ht="11.75" customHeight="1" x14ac:dyDescent="0.15">
      <c r="G998" s="300"/>
      <c r="H998" s="301"/>
      <c r="I998" s="301"/>
      <c r="J998" s="301"/>
      <c r="K998" s="301"/>
      <c r="L998" s="301"/>
      <c r="M998" s="301"/>
      <c r="N998" s="301"/>
      <c r="O998" s="301"/>
      <c r="P998" s="301"/>
      <c r="Q998" s="301"/>
      <c r="R998" s="301"/>
      <c r="S998" s="301"/>
      <c r="T998" s="301"/>
      <c r="U998" s="301"/>
      <c r="V998" s="301"/>
      <c r="W998" s="301"/>
      <c r="X998" s="301"/>
      <c r="Y998" s="301"/>
      <c r="Z998" s="301"/>
      <c r="AA998" s="301"/>
      <c r="AB998" s="301"/>
      <c r="AC998" s="301"/>
      <c r="AD998" s="301"/>
      <c r="AE998" s="301"/>
      <c r="AH998" s="303"/>
      <c r="AI998" s="303"/>
      <c r="AJ998" s="303"/>
      <c r="AK998" s="303"/>
      <c r="AL998" s="303"/>
      <c r="AM998" s="303"/>
      <c r="AN998" s="303"/>
    </row>
    <row r="999" spans="7:40" s="302" customFormat="1" ht="11.75" customHeight="1" x14ac:dyDescent="0.15">
      <c r="G999" s="300"/>
      <c r="H999" s="301"/>
      <c r="I999" s="301"/>
      <c r="J999" s="301"/>
      <c r="K999" s="301"/>
      <c r="L999" s="301"/>
      <c r="M999" s="301"/>
      <c r="N999" s="301"/>
      <c r="O999" s="301"/>
      <c r="P999" s="301"/>
      <c r="Q999" s="301"/>
      <c r="R999" s="301"/>
      <c r="S999" s="301"/>
      <c r="T999" s="301"/>
      <c r="U999" s="301"/>
      <c r="V999" s="301"/>
      <c r="W999" s="301"/>
      <c r="X999" s="301"/>
      <c r="Y999" s="301"/>
      <c r="Z999" s="301"/>
      <c r="AA999" s="301"/>
      <c r="AB999" s="301"/>
      <c r="AC999" s="301"/>
      <c r="AD999" s="301"/>
      <c r="AE999" s="301"/>
      <c r="AH999" s="303"/>
      <c r="AI999" s="303"/>
      <c r="AJ999" s="303"/>
      <c r="AK999" s="303"/>
      <c r="AL999" s="303"/>
      <c r="AM999" s="303"/>
      <c r="AN999" s="303"/>
    </row>
    <row r="1000" spans="7:40" s="302" customFormat="1" ht="11.75" customHeight="1" x14ac:dyDescent="0.15">
      <c r="G1000" s="300"/>
      <c r="H1000" s="301"/>
      <c r="I1000" s="301"/>
      <c r="J1000" s="301"/>
      <c r="K1000" s="301"/>
      <c r="L1000" s="301"/>
      <c r="M1000" s="301"/>
      <c r="N1000" s="301"/>
      <c r="O1000" s="301"/>
      <c r="P1000" s="301"/>
      <c r="Q1000" s="301"/>
      <c r="R1000" s="301"/>
      <c r="S1000" s="301"/>
      <c r="T1000" s="301"/>
      <c r="U1000" s="301"/>
      <c r="V1000" s="301"/>
      <c r="W1000" s="301"/>
      <c r="X1000" s="301"/>
      <c r="Y1000" s="301"/>
      <c r="Z1000" s="301"/>
      <c r="AA1000" s="301"/>
      <c r="AB1000" s="301"/>
      <c r="AC1000" s="301"/>
      <c r="AD1000" s="301"/>
      <c r="AE1000" s="301"/>
      <c r="AH1000" s="303"/>
      <c r="AI1000" s="303"/>
      <c r="AJ1000" s="303"/>
      <c r="AK1000" s="303"/>
      <c r="AL1000" s="303"/>
      <c r="AM1000" s="303"/>
      <c r="AN1000" s="303"/>
    </row>
    <row r="1001" spans="7:40" s="302" customFormat="1" ht="11.75" customHeight="1" x14ac:dyDescent="0.15">
      <c r="G1001" s="300"/>
      <c r="H1001" s="301"/>
      <c r="I1001" s="301"/>
      <c r="J1001" s="301"/>
      <c r="K1001" s="301"/>
      <c r="L1001" s="301"/>
      <c r="M1001" s="301"/>
      <c r="N1001" s="301"/>
      <c r="O1001" s="301"/>
      <c r="P1001" s="301"/>
      <c r="Q1001" s="301"/>
      <c r="R1001" s="301"/>
      <c r="S1001" s="301"/>
      <c r="T1001" s="301"/>
      <c r="U1001" s="301"/>
      <c r="V1001" s="301"/>
      <c r="W1001" s="301"/>
      <c r="X1001" s="301"/>
      <c r="Y1001" s="301"/>
      <c r="Z1001" s="301"/>
      <c r="AA1001" s="301"/>
      <c r="AB1001" s="301"/>
      <c r="AC1001" s="301"/>
      <c r="AD1001" s="301"/>
      <c r="AE1001" s="301"/>
      <c r="AH1001" s="303"/>
      <c r="AI1001" s="303"/>
      <c r="AJ1001" s="303"/>
      <c r="AK1001" s="303"/>
      <c r="AL1001" s="303"/>
      <c r="AM1001" s="303"/>
      <c r="AN1001" s="303"/>
    </row>
    <row r="1002" spans="7:40" s="302" customFormat="1" ht="11.75" customHeight="1" x14ac:dyDescent="0.15">
      <c r="G1002" s="300"/>
      <c r="H1002" s="301"/>
      <c r="I1002" s="301"/>
      <c r="J1002" s="301"/>
      <c r="K1002" s="301"/>
      <c r="L1002" s="301"/>
      <c r="M1002" s="301"/>
      <c r="N1002" s="301"/>
      <c r="O1002" s="301"/>
      <c r="P1002" s="301"/>
      <c r="Q1002" s="301"/>
      <c r="R1002" s="301"/>
      <c r="S1002" s="301"/>
      <c r="T1002" s="301"/>
      <c r="U1002" s="301"/>
      <c r="V1002" s="301"/>
      <c r="W1002" s="301"/>
      <c r="X1002" s="301"/>
      <c r="Y1002" s="301"/>
      <c r="Z1002" s="301"/>
      <c r="AA1002" s="301"/>
      <c r="AB1002" s="301"/>
      <c r="AC1002" s="301"/>
      <c r="AD1002" s="301"/>
      <c r="AE1002" s="301"/>
      <c r="AH1002" s="303"/>
      <c r="AI1002" s="303"/>
      <c r="AJ1002" s="303"/>
      <c r="AK1002" s="303"/>
      <c r="AL1002" s="303"/>
      <c r="AM1002" s="303"/>
      <c r="AN1002" s="303"/>
    </row>
    <row r="1003" spans="7:40" s="302" customFormat="1" ht="11.75" customHeight="1" x14ac:dyDescent="0.15">
      <c r="G1003" s="300"/>
      <c r="H1003" s="301"/>
      <c r="I1003" s="301"/>
      <c r="J1003" s="301"/>
      <c r="K1003" s="301"/>
      <c r="L1003" s="301"/>
      <c r="M1003" s="301"/>
      <c r="N1003" s="301"/>
      <c r="O1003" s="301"/>
      <c r="P1003" s="301"/>
      <c r="Q1003" s="301"/>
      <c r="R1003" s="301"/>
      <c r="S1003" s="301"/>
      <c r="T1003" s="301"/>
      <c r="U1003" s="301"/>
      <c r="V1003" s="301"/>
      <c r="W1003" s="301"/>
      <c r="X1003" s="301"/>
      <c r="Y1003" s="301"/>
      <c r="Z1003" s="301"/>
      <c r="AA1003" s="301"/>
      <c r="AB1003" s="301"/>
      <c r="AC1003" s="301"/>
      <c r="AD1003" s="301"/>
      <c r="AE1003" s="301"/>
      <c r="AH1003" s="303"/>
      <c r="AI1003" s="303"/>
      <c r="AJ1003" s="303"/>
      <c r="AK1003" s="303"/>
      <c r="AL1003" s="303"/>
      <c r="AM1003" s="303"/>
      <c r="AN1003" s="303"/>
    </row>
    <row r="1004" spans="7:40" s="302" customFormat="1" ht="11.75" customHeight="1" x14ac:dyDescent="0.15">
      <c r="G1004" s="300"/>
      <c r="H1004" s="301"/>
      <c r="I1004" s="301"/>
      <c r="J1004" s="301"/>
      <c r="K1004" s="301"/>
      <c r="L1004" s="301"/>
      <c r="M1004" s="301"/>
      <c r="N1004" s="301"/>
      <c r="O1004" s="301"/>
      <c r="P1004" s="301"/>
      <c r="Q1004" s="301"/>
      <c r="R1004" s="301"/>
      <c r="S1004" s="301"/>
      <c r="T1004" s="301"/>
      <c r="U1004" s="301"/>
      <c r="V1004" s="301"/>
      <c r="W1004" s="301"/>
      <c r="X1004" s="301"/>
      <c r="Y1004" s="301"/>
      <c r="Z1004" s="301"/>
      <c r="AA1004" s="301"/>
      <c r="AB1004" s="301"/>
      <c r="AC1004" s="301"/>
      <c r="AD1004" s="301"/>
      <c r="AE1004" s="301"/>
      <c r="AH1004" s="303"/>
      <c r="AI1004" s="303"/>
      <c r="AJ1004" s="303"/>
      <c r="AK1004" s="303"/>
      <c r="AL1004" s="303"/>
      <c r="AM1004" s="303"/>
      <c r="AN1004" s="303"/>
    </row>
    <row r="1005" spans="7:40" s="302" customFormat="1" ht="11.75" customHeight="1" x14ac:dyDescent="0.15">
      <c r="G1005" s="300"/>
      <c r="H1005" s="301"/>
      <c r="I1005" s="301"/>
      <c r="J1005" s="301"/>
      <c r="K1005" s="301"/>
      <c r="L1005" s="301"/>
      <c r="M1005" s="301"/>
      <c r="N1005" s="301"/>
      <c r="O1005" s="301"/>
      <c r="P1005" s="301"/>
      <c r="Q1005" s="301"/>
      <c r="R1005" s="301"/>
      <c r="S1005" s="301"/>
      <c r="T1005" s="301"/>
      <c r="U1005" s="301"/>
      <c r="V1005" s="301"/>
      <c r="W1005" s="301"/>
      <c r="X1005" s="301"/>
      <c r="Y1005" s="301"/>
      <c r="Z1005" s="301"/>
      <c r="AA1005" s="301"/>
      <c r="AB1005" s="301"/>
      <c r="AC1005" s="301"/>
      <c r="AD1005" s="301"/>
      <c r="AE1005" s="301"/>
      <c r="AH1005" s="303"/>
      <c r="AI1005" s="303"/>
      <c r="AJ1005" s="303"/>
      <c r="AK1005" s="303"/>
      <c r="AL1005" s="303"/>
      <c r="AM1005" s="303"/>
      <c r="AN1005" s="303"/>
    </row>
    <row r="1006" spans="7:40" s="302" customFormat="1" ht="11.75" customHeight="1" x14ac:dyDescent="0.15">
      <c r="G1006" s="300"/>
      <c r="H1006" s="301"/>
      <c r="I1006" s="301"/>
      <c r="J1006" s="301"/>
      <c r="K1006" s="301"/>
      <c r="L1006" s="301"/>
      <c r="M1006" s="301"/>
      <c r="N1006" s="301"/>
      <c r="O1006" s="301"/>
      <c r="P1006" s="301"/>
      <c r="Q1006" s="301"/>
      <c r="R1006" s="301"/>
      <c r="S1006" s="301"/>
      <c r="T1006" s="301"/>
      <c r="U1006" s="301"/>
      <c r="V1006" s="301"/>
      <c r="W1006" s="301"/>
      <c r="X1006" s="301"/>
      <c r="Y1006" s="301"/>
      <c r="Z1006" s="301"/>
      <c r="AA1006" s="301"/>
      <c r="AB1006" s="301"/>
      <c r="AC1006" s="301"/>
      <c r="AD1006" s="301"/>
      <c r="AE1006" s="301"/>
      <c r="AH1006" s="303"/>
      <c r="AI1006" s="303"/>
      <c r="AJ1006" s="303"/>
      <c r="AK1006" s="303"/>
      <c r="AL1006" s="303"/>
      <c r="AM1006" s="303"/>
      <c r="AN1006" s="303"/>
    </row>
    <row r="1007" spans="7:40" s="302" customFormat="1" ht="11.75" customHeight="1" x14ac:dyDescent="0.15">
      <c r="G1007" s="300"/>
      <c r="H1007" s="301"/>
      <c r="I1007" s="301"/>
      <c r="J1007" s="301"/>
      <c r="K1007" s="301"/>
      <c r="L1007" s="301"/>
      <c r="M1007" s="301"/>
      <c r="N1007" s="301"/>
      <c r="O1007" s="301"/>
      <c r="P1007" s="301"/>
      <c r="Q1007" s="301"/>
      <c r="R1007" s="301"/>
      <c r="S1007" s="301"/>
      <c r="T1007" s="301"/>
      <c r="U1007" s="301"/>
      <c r="V1007" s="301"/>
      <c r="W1007" s="301"/>
      <c r="X1007" s="301"/>
      <c r="Y1007" s="301"/>
      <c r="Z1007" s="301"/>
      <c r="AA1007" s="301"/>
      <c r="AB1007" s="301"/>
      <c r="AC1007" s="301"/>
      <c r="AD1007" s="301"/>
      <c r="AE1007" s="301"/>
      <c r="AH1007" s="303"/>
      <c r="AI1007" s="303"/>
      <c r="AJ1007" s="303"/>
      <c r="AK1007" s="303"/>
      <c r="AL1007" s="303"/>
      <c r="AM1007" s="303"/>
      <c r="AN1007" s="303"/>
    </row>
    <row r="1008" spans="7:40" s="302" customFormat="1" ht="11.75" customHeight="1" x14ac:dyDescent="0.15">
      <c r="G1008" s="300"/>
      <c r="H1008" s="301"/>
      <c r="I1008" s="301"/>
      <c r="J1008" s="301"/>
      <c r="K1008" s="301"/>
      <c r="L1008" s="301"/>
      <c r="M1008" s="301"/>
      <c r="N1008" s="301"/>
      <c r="O1008" s="301"/>
      <c r="P1008" s="301"/>
      <c r="Q1008" s="301"/>
      <c r="R1008" s="301"/>
      <c r="S1008" s="301"/>
      <c r="T1008" s="301"/>
      <c r="U1008" s="301"/>
      <c r="V1008" s="301"/>
      <c r="W1008" s="301"/>
      <c r="X1008" s="301"/>
      <c r="Y1008" s="301"/>
      <c r="Z1008" s="301"/>
      <c r="AA1008" s="301"/>
      <c r="AB1008" s="301"/>
      <c r="AC1008" s="301"/>
      <c r="AD1008" s="301"/>
      <c r="AE1008" s="301"/>
      <c r="AH1008" s="303"/>
      <c r="AI1008" s="303"/>
      <c r="AJ1008" s="303"/>
      <c r="AK1008" s="303"/>
      <c r="AL1008" s="303"/>
      <c r="AM1008" s="303"/>
      <c r="AN1008" s="303"/>
    </row>
    <row r="1009" spans="7:40" s="302" customFormat="1" ht="11.75" customHeight="1" x14ac:dyDescent="0.15">
      <c r="G1009" s="300"/>
      <c r="H1009" s="301"/>
      <c r="I1009" s="301"/>
      <c r="J1009" s="301"/>
      <c r="K1009" s="301"/>
      <c r="L1009" s="301"/>
      <c r="M1009" s="301"/>
      <c r="N1009" s="301"/>
      <c r="O1009" s="301"/>
      <c r="P1009" s="301"/>
      <c r="Q1009" s="301"/>
      <c r="R1009" s="301"/>
      <c r="S1009" s="301"/>
      <c r="T1009" s="301"/>
      <c r="U1009" s="301"/>
      <c r="V1009" s="301"/>
      <c r="W1009" s="301"/>
      <c r="X1009" s="301"/>
      <c r="Y1009" s="301"/>
      <c r="Z1009" s="301"/>
      <c r="AA1009" s="301"/>
      <c r="AB1009" s="301"/>
      <c r="AC1009" s="301"/>
      <c r="AD1009" s="301"/>
      <c r="AE1009" s="301"/>
      <c r="AH1009" s="303"/>
      <c r="AI1009" s="303"/>
      <c r="AJ1009" s="303"/>
      <c r="AK1009" s="303"/>
      <c r="AL1009" s="303"/>
      <c r="AM1009" s="303"/>
      <c r="AN1009" s="303"/>
    </row>
    <row r="1010" spans="7:40" s="302" customFormat="1" ht="11.75" customHeight="1" x14ac:dyDescent="0.15">
      <c r="G1010" s="300"/>
      <c r="H1010" s="301"/>
      <c r="I1010" s="301"/>
      <c r="J1010" s="301"/>
      <c r="K1010" s="301"/>
      <c r="L1010" s="301"/>
      <c r="M1010" s="301"/>
      <c r="N1010" s="301"/>
      <c r="O1010" s="301"/>
      <c r="P1010" s="301"/>
      <c r="Q1010" s="301"/>
      <c r="R1010" s="301"/>
      <c r="S1010" s="301"/>
      <c r="T1010" s="301"/>
      <c r="U1010" s="301"/>
      <c r="V1010" s="301"/>
      <c r="W1010" s="301"/>
      <c r="X1010" s="301"/>
      <c r="Y1010" s="301"/>
      <c r="Z1010" s="301"/>
      <c r="AA1010" s="301"/>
      <c r="AB1010" s="301"/>
      <c r="AC1010" s="301"/>
      <c r="AD1010" s="301"/>
      <c r="AE1010" s="301"/>
      <c r="AH1010" s="303"/>
      <c r="AI1010" s="303"/>
      <c r="AJ1010" s="303"/>
      <c r="AK1010" s="303"/>
      <c r="AL1010" s="303"/>
      <c r="AM1010" s="303"/>
      <c r="AN1010" s="303"/>
    </row>
    <row r="1011" spans="7:40" s="302" customFormat="1" ht="11.75" customHeight="1" x14ac:dyDescent="0.15">
      <c r="G1011" s="300"/>
      <c r="H1011" s="301"/>
      <c r="I1011" s="301"/>
      <c r="J1011" s="301"/>
      <c r="K1011" s="301"/>
      <c r="L1011" s="301"/>
      <c r="M1011" s="301"/>
      <c r="N1011" s="301"/>
      <c r="O1011" s="301"/>
      <c r="P1011" s="301"/>
      <c r="Q1011" s="301"/>
      <c r="R1011" s="301"/>
      <c r="S1011" s="301"/>
      <c r="T1011" s="301"/>
      <c r="U1011" s="301"/>
      <c r="V1011" s="301"/>
      <c r="W1011" s="301"/>
      <c r="X1011" s="301"/>
      <c r="Y1011" s="301"/>
      <c r="Z1011" s="301"/>
      <c r="AA1011" s="301"/>
      <c r="AB1011" s="301"/>
      <c r="AC1011" s="301"/>
      <c r="AD1011" s="301"/>
      <c r="AE1011" s="301"/>
      <c r="AH1011" s="303"/>
      <c r="AI1011" s="303"/>
      <c r="AJ1011" s="303"/>
      <c r="AK1011" s="303"/>
      <c r="AL1011" s="303"/>
      <c r="AM1011" s="303"/>
      <c r="AN1011" s="303"/>
    </row>
    <row r="1012" spans="7:40" s="302" customFormat="1" ht="11.75" customHeight="1" x14ac:dyDescent="0.15">
      <c r="G1012" s="300"/>
      <c r="H1012" s="301"/>
      <c r="I1012" s="301"/>
      <c r="J1012" s="301"/>
      <c r="K1012" s="301"/>
      <c r="L1012" s="301"/>
      <c r="M1012" s="301"/>
      <c r="N1012" s="301"/>
      <c r="O1012" s="301"/>
      <c r="P1012" s="301"/>
      <c r="Q1012" s="301"/>
      <c r="R1012" s="301"/>
      <c r="S1012" s="301"/>
      <c r="T1012" s="301"/>
      <c r="U1012" s="301"/>
      <c r="V1012" s="301"/>
      <c r="W1012" s="301"/>
      <c r="X1012" s="301"/>
      <c r="Y1012" s="301"/>
      <c r="Z1012" s="301"/>
      <c r="AA1012" s="301"/>
      <c r="AB1012" s="301"/>
      <c r="AC1012" s="301"/>
      <c r="AD1012" s="301"/>
      <c r="AE1012" s="301"/>
      <c r="AH1012" s="303"/>
      <c r="AI1012" s="303"/>
      <c r="AJ1012" s="303"/>
      <c r="AK1012" s="303"/>
      <c r="AL1012" s="303"/>
      <c r="AM1012" s="303"/>
      <c r="AN1012" s="303"/>
    </row>
    <row r="1013" spans="7:40" s="302" customFormat="1" ht="11.75" customHeight="1" x14ac:dyDescent="0.15">
      <c r="G1013" s="300"/>
      <c r="H1013" s="301"/>
      <c r="I1013" s="301"/>
      <c r="J1013" s="301"/>
      <c r="K1013" s="301"/>
      <c r="L1013" s="301"/>
      <c r="M1013" s="301"/>
      <c r="N1013" s="301"/>
      <c r="O1013" s="301"/>
      <c r="P1013" s="301"/>
      <c r="Q1013" s="301"/>
      <c r="R1013" s="301"/>
      <c r="S1013" s="301"/>
      <c r="T1013" s="301"/>
      <c r="U1013" s="301"/>
      <c r="V1013" s="301"/>
      <c r="W1013" s="301"/>
      <c r="X1013" s="301"/>
      <c r="Y1013" s="301"/>
      <c r="Z1013" s="301"/>
      <c r="AA1013" s="301"/>
      <c r="AB1013" s="301"/>
      <c r="AC1013" s="301"/>
      <c r="AD1013" s="301"/>
      <c r="AE1013" s="301"/>
      <c r="AH1013" s="303"/>
      <c r="AI1013" s="303"/>
      <c r="AJ1013" s="303"/>
      <c r="AK1013" s="303"/>
      <c r="AL1013" s="303"/>
      <c r="AM1013" s="303"/>
      <c r="AN1013" s="303"/>
    </row>
    <row r="1014" spans="7:40" s="302" customFormat="1" ht="11.75" customHeight="1" x14ac:dyDescent="0.15">
      <c r="G1014" s="300"/>
      <c r="H1014" s="301"/>
      <c r="I1014" s="301"/>
      <c r="J1014" s="301"/>
      <c r="K1014" s="301"/>
      <c r="L1014" s="301"/>
      <c r="M1014" s="301"/>
      <c r="N1014" s="301"/>
      <c r="O1014" s="301"/>
      <c r="P1014" s="301"/>
      <c r="Q1014" s="301"/>
      <c r="R1014" s="301"/>
      <c r="S1014" s="301"/>
      <c r="T1014" s="301"/>
      <c r="U1014" s="301"/>
      <c r="V1014" s="301"/>
      <c r="W1014" s="301"/>
      <c r="X1014" s="301"/>
      <c r="Y1014" s="301"/>
      <c r="Z1014" s="301"/>
      <c r="AA1014" s="301"/>
      <c r="AB1014" s="301"/>
      <c r="AC1014" s="301"/>
      <c r="AD1014" s="301"/>
      <c r="AE1014" s="301"/>
      <c r="AH1014" s="303"/>
      <c r="AI1014" s="303"/>
      <c r="AJ1014" s="303"/>
      <c r="AK1014" s="303"/>
      <c r="AL1014" s="303"/>
      <c r="AM1014" s="303"/>
      <c r="AN1014" s="303"/>
    </row>
    <row r="1015" spans="7:40" s="302" customFormat="1" ht="11.75" customHeight="1" x14ac:dyDescent="0.15">
      <c r="G1015" s="300"/>
      <c r="H1015" s="301"/>
      <c r="I1015" s="301"/>
      <c r="J1015" s="301"/>
      <c r="K1015" s="301"/>
      <c r="L1015" s="301"/>
      <c r="M1015" s="301"/>
      <c r="N1015" s="301"/>
      <c r="O1015" s="301"/>
      <c r="P1015" s="301"/>
      <c r="Q1015" s="301"/>
      <c r="R1015" s="301"/>
      <c r="S1015" s="301"/>
      <c r="T1015" s="301"/>
      <c r="U1015" s="301"/>
      <c r="V1015" s="301"/>
      <c r="W1015" s="301"/>
      <c r="X1015" s="301"/>
      <c r="Y1015" s="301"/>
      <c r="Z1015" s="301"/>
      <c r="AA1015" s="301"/>
      <c r="AB1015" s="301"/>
      <c r="AC1015" s="301"/>
      <c r="AD1015" s="301"/>
      <c r="AE1015" s="301"/>
      <c r="AH1015" s="303"/>
      <c r="AI1015" s="303"/>
      <c r="AJ1015" s="303"/>
      <c r="AK1015" s="303"/>
      <c r="AL1015" s="303"/>
      <c r="AM1015" s="303"/>
      <c r="AN1015" s="303"/>
    </row>
    <row r="1016" spans="7:40" s="302" customFormat="1" ht="11.75" customHeight="1" x14ac:dyDescent="0.15">
      <c r="G1016" s="300"/>
      <c r="H1016" s="301"/>
      <c r="I1016" s="301"/>
      <c r="J1016" s="301"/>
      <c r="K1016" s="301"/>
      <c r="L1016" s="301"/>
      <c r="M1016" s="301"/>
      <c r="N1016" s="301"/>
      <c r="O1016" s="301"/>
      <c r="P1016" s="301"/>
      <c r="Q1016" s="301"/>
      <c r="R1016" s="301"/>
      <c r="S1016" s="301"/>
      <c r="T1016" s="301"/>
      <c r="U1016" s="301"/>
      <c r="V1016" s="301"/>
      <c r="W1016" s="301"/>
      <c r="X1016" s="301"/>
      <c r="Y1016" s="301"/>
      <c r="Z1016" s="301"/>
      <c r="AA1016" s="301"/>
      <c r="AB1016" s="301"/>
      <c r="AC1016" s="301"/>
      <c r="AD1016" s="301"/>
      <c r="AE1016" s="301"/>
      <c r="AH1016" s="303"/>
      <c r="AI1016" s="303"/>
      <c r="AJ1016" s="303"/>
      <c r="AK1016" s="303"/>
      <c r="AL1016" s="303"/>
      <c r="AM1016" s="303"/>
      <c r="AN1016" s="303"/>
    </row>
    <row r="1017" spans="7:40" s="302" customFormat="1" ht="11.75" customHeight="1" x14ac:dyDescent="0.15">
      <c r="G1017" s="300"/>
      <c r="H1017" s="301"/>
      <c r="I1017" s="301"/>
      <c r="J1017" s="301"/>
      <c r="K1017" s="301"/>
      <c r="L1017" s="301"/>
      <c r="M1017" s="301"/>
      <c r="N1017" s="301"/>
      <c r="O1017" s="301"/>
      <c r="P1017" s="301"/>
      <c r="Q1017" s="301"/>
      <c r="R1017" s="301"/>
      <c r="S1017" s="301"/>
      <c r="T1017" s="301"/>
      <c r="U1017" s="301"/>
      <c r="V1017" s="301"/>
      <c r="W1017" s="301"/>
      <c r="X1017" s="301"/>
      <c r="Y1017" s="301"/>
      <c r="Z1017" s="301"/>
      <c r="AA1017" s="301"/>
      <c r="AB1017" s="301"/>
      <c r="AC1017" s="301"/>
      <c r="AD1017" s="301"/>
      <c r="AE1017" s="301"/>
      <c r="AH1017" s="303"/>
      <c r="AI1017" s="303"/>
      <c r="AJ1017" s="303"/>
      <c r="AK1017" s="303"/>
      <c r="AL1017" s="303"/>
      <c r="AM1017" s="303"/>
      <c r="AN1017" s="303"/>
    </row>
    <row r="1018" spans="7:40" s="302" customFormat="1" ht="11.75" customHeight="1" x14ac:dyDescent="0.15">
      <c r="G1018" s="300"/>
      <c r="H1018" s="301"/>
      <c r="I1018" s="301"/>
      <c r="J1018" s="301"/>
      <c r="K1018" s="301"/>
      <c r="L1018" s="301"/>
      <c r="M1018" s="301"/>
      <c r="N1018" s="301"/>
      <c r="O1018" s="301"/>
      <c r="P1018" s="301"/>
      <c r="Q1018" s="301"/>
      <c r="R1018" s="301"/>
      <c r="S1018" s="301"/>
      <c r="T1018" s="301"/>
      <c r="U1018" s="301"/>
      <c r="V1018" s="301"/>
      <c r="W1018" s="301"/>
      <c r="X1018" s="301"/>
      <c r="Y1018" s="301"/>
      <c r="Z1018" s="301"/>
      <c r="AA1018" s="301"/>
      <c r="AB1018" s="301"/>
      <c r="AC1018" s="301"/>
      <c r="AD1018" s="301"/>
      <c r="AE1018" s="301"/>
      <c r="AH1018" s="303"/>
      <c r="AI1018" s="303"/>
      <c r="AJ1018" s="303"/>
      <c r="AK1018" s="303"/>
      <c r="AL1018" s="303"/>
      <c r="AM1018" s="303"/>
      <c r="AN1018" s="303"/>
    </row>
    <row r="1019" spans="7:40" s="302" customFormat="1" ht="11.75" customHeight="1" x14ac:dyDescent="0.15">
      <c r="G1019" s="300"/>
      <c r="H1019" s="301"/>
      <c r="I1019" s="301"/>
      <c r="J1019" s="301"/>
      <c r="K1019" s="301"/>
      <c r="L1019" s="301"/>
      <c r="M1019" s="301"/>
      <c r="N1019" s="301"/>
      <c r="O1019" s="301"/>
      <c r="P1019" s="301"/>
      <c r="Q1019" s="301"/>
      <c r="R1019" s="301"/>
      <c r="S1019" s="301"/>
      <c r="T1019" s="301"/>
      <c r="U1019" s="301"/>
      <c r="V1019" s="301"/>
      <c r="W1019" s="301"/>
      <c r="X1019" s="301"/>
      <c r="Y1019" s="301"/>
      <c r="Z1019" s="301"/>
      <c r="AA1019" s="301"/>
      <c r="AB1019" s="301"/>
      <c r="AC1019" s="301"/>
      <c r="AD1019" s="301"/>
      <c r="AE1019" s="301"/>
      <c r="AH1019" s="303"/>
      <c r="AI1019" s="303"/>
      <c r="AJ1019" s="303"/>
      <c r="AK1019" s="303"/>
      <c r="AL1019" s="303"/>
      <c r="AM1019" s="303"/>
      <c r="AN1019" s="303"/>
    </row>
    <row r="1020" spans="7:40" s="302" customFormat="1" ht="11.75" customHeight="1" x14ac:dyDescent="0.15">
      <c r="G1020" s="300"/>
      <c r="H1020" s="301"/>
      <c r="I1020" s="301"/>
      <c r="J1020" s="301"/>
      <c r="K1020" s="301"/>
      <c r="L1020" s="301"/>
      <c r="M1020" s="301"/>
      <c r="N1020" s="301"/>
      <c r="O1020" s="301"/>
      <c r="P1020" s="301"/>
      <c r="Q1020" s="301"/>
      <c r="R1020" s="301"/>
      <c r="S1020" s="301"/>
      <c r="T1020" s="301"/>
      <c r="U1020" s="301"/>
      <c r="V1020" s="301"/>
      <c r="W1020" s="301"/>
      <c r="X1020" s="301"/>
      <c r="Y1020" s="301"/>
      <c r="Z1020" s="301"/>
      <c r="AA1020" s="301"/>
      <c r="AB1020" s="301"/>
      <c r="AC1020" s="301"/>
      <c r="AD1020" s="301"/>
      <c r="AE1020" s="301"/>
      <c r="AH1020" s="303"/>
      <c r="AI1020" s="303"/>
      <c r="AJ1020" s="303"/>
      <c r="AK1020" s="303"/>
      <c r="AL1020" s="303"/>
      <c r="AM1020" s="303"/>
      <c r="AN1020" s="303"/>
    </row>
    <row r="1021" spans="7:40" s="302" customFormat="1" ht="11.75" customHeight="1" x14ac:dyDescent="0.15">
      <c r="G1021" s="300"/>
      <c r="H1021" s="301"/>
      <c r="I1021" s="301"/>
      <c r="J1021" s="301"/>
      <c r="K1021" s="301"/>
      <c r="L1021" s="301"/>
      <c r="M1021" s="301"/>
      <c r="N1021" s="301"/>
      <c r="O1021" s="301"/>
      <c r="P1021" s="301"/>
      <c r="Q1021" s="301"/>
      <c r="R1021" s="301"/>
      <c r="S1021" s="301"/>
      <c r="T1021" s="301"/>
      <c r="U1021" s="301"/>
      <c r="V1021" s="301"/>
      <c r="W1021" s="301"/>
      <c r="X1021" s="301"/>
      <c r="Y1021" s="301"/>
      <c r="Z1021" s="301"/>
      <c r="AA1021" s="301"/>
      <c r="AB1021" s="301"/>
      <c r="AC1021" s="301"/>
      <c r="AD1021" s="301"/>
      <c r="AE1021" s="301"/>
      <c r="AH1021" s="303"/>
      <c r="AI1021" s="303"/>
      <c r="AJ1021" s="303"/>
      <c r="AK1021" s="303"/>
      <c r="AL1021" s="303"/>
      <c r="AM1021" s="303"/>
      <c r="AN1021" s="303"/>
    </row>
    <row r="1022" spans="7:40" s="302" customFormat="1" ht="11.75" customHeight="1" x14ac:dyDescent="0.15">
      <c r="G1022" s="300"/>
      <c r="H1022" s="301"/>
      <c r="I1022" s="301"/>
      <c r="J1022" s="301"/>
      <c r="K1022" s="301"/>
      <c r="L1022" s="301"/>
      <c r="M1022" s="301"/>
      <c r="N1022" s="301"/>
      <c r="O1022" s="301"/>
      <c r="P1022" s="301"/>
      <c r="Q1022" s="301"/>
      <c r="R1022" s="301"/>
      <c r="S1022" s="301"/>
      <c r="T1022" s="301"/>
      <c r="U1022" s="301"/>
      <c r="V1022" s="301"/>
      <c r="W1022" s="301"/>
      <c r="X1022" s="301"/>
      <c r="Y1022" s="301"/>
      <c r="Z1022" s="301"/>
      <c r="AA1022" s="301"/>
      <c r="AB1022" s="301"/>
      <c r="AC1022" s="301"/>
      <c r="AD1022" s="301"/>
      <c r="AE1022" s="301"/>
      <c r="AH1022" s="303"/>
      <c r="AI1022" s="303"/>
      <c r="AJ1022" s="303"/>
      <c r="AK1022" s="303"/>
      <c r="AL1022" s="303"/>
      <c r="AM1022" s="303"/>
      <c r="AN1022" s="303"/>
    </row>
    <row r="1023" spans="7:40" s="302" customFormat="1" ht="11.75" customHeight="1" x14ac:dyDescent="0.15">
      <c r="G1023" s="300"/>
      <c r="H1023" s="301"/>
      <c r="I1023" s="301"/>
      <c r="J1023" s="301"/>
      <c r="K1023" s="301"/>
      <c r="L1023" s="301"/>
      <c r="M1023" s="301"/>
      <c r="N1023" s="301"/>
      <c r="O1023" s="301"/>
      <c r="P1023" s="301"/>
      <c r="Q1023" s="301"/>
      <c r="R1023" s="301"/>
      <c r="S1023" s="301"/>
      <c r="T1023" s="301"/>
      <c r="U1023" s="301"/>
      <c r="V1023" s="301"/>
      <c r="W1023" s="301"/>
      <c r="X1023" s="301"/>
      <c r="Y1023" s="301"/>
      <c r="Z1023" s="301"/>
      <c r="AA1023" s="301"/>
      <c r="AB1023" s="301"/>
      <c r="AC1023" s="301"/>
      <c r="AD1023" s="301"/>
      <c r="AE1023" s="301"/>
      <c r="AH1023" s="303"/>
      <c r="AI1023" s="303"/>
      <c r="AJ1023" s="303"/>
      <c r="AK1023" s="303"/>
      <c r="AL1023" s="303"/>
      <c r="AM1023" s="303"/>
      <c r="AN1023" s="303"/>
    </row>
    <row r="1024" spans="7:40" s="302" customFormat="1" ht="11.75" customHeight="1" x14ac:dyDescent="0.15">
      <c r="G1024" s="300"/>
      <c r="H1024" s="301"/>
      <c r="I1024" s="301"/>
      <c r="J1024" s="301"/>
      <c r="K1024" s="301"/>
      <c r="L1024" s="301"/>
      <c r="M1024" s="301"/>
      <c r="N1024" s="301"/>
      <c r="O1024" s="301"/>
      <c r="P1024" s="301"/>
      <c r="Q1024" s="301"/>
      <c r="R1024" s="301"/>
      <c r="S1024" s="301"/>
      <c r="T1024" s="301"/>
      <c r="U1024" s="301"/>
      <c r="V1024" s="301"/>
      <c r="W1024" s="301"/>
      <c r="X1024" s="301"/>
      <c r="Y1024" s="301"/>
      <c r="Z1024" s="301"/>
      <c r="AA1024" s="301"/>
      <c r="AB1024" s="301"/>
      <c r="AC1024" s="301"/>
      <c r="AD1024" s="301"/>
      <c r="AE1024" s="301"/>
      <c r="AH1024" s="303"/>
      <c r="AI1024" s="303"/>
      <c r="AJ1024" s="303"/>
      <c r="AK1024" s="303"/>
      <c r="AL1024" s="303"/>
      <c r="AM1024" s="303"/>
      <c r="AN1024" s="303"/>
    </row>
    <row r="1025" spans="7:40" s="302" customFormat="1" ht="11.75" customHeight="1" x14ac:dyDescent="0.15">
      <c r="G1025" s="300"/>
      <c r="H1025" s="301"/>
      <c r="I1025" s="301"/>
      <c r="J1025" s="301"/>
      <c r="K1025" s="301"/>
      <c r="L1025" s="301"/>
      <c r="M1025" s="301"/>
      <c r="N1025" s="301"/>
      <c r="O1025" s="301"/>
      <c r="P1025" s="301"/>
      <c r="Q1025" s="301"/>
      <c r="R1025" s="301"/>
      <c r="S1025" s="301"/>
      <c r="T1025" s="301"/>
      <c r="U1025" s="301"/>
      <c r="V1025" s="301"/>
      <c r="W1025" s="301"/>
      <c r="X1025" s="301"/>
      <c r="Y1025" s="301"/>
      <c r="Z1025" s="301"/>
      <c r="AA1025" s="301"/>
      <c r="AB1025" s="301"/>
      <c r="AC1025" s="301"/>
      <c r="AD1025" s="301"/>
      <c r="AE1025" s="301"/>
      <c r="AH1025" s="303"/>
      <c r="AI1025" s="303"/>
      <c r="AJ1025" s="303"/>
      <c r="AK1025" s="303"/>
      <c r="AL1025" s="303"/>
      <c r="AM1025" s="303"/>
      <c r="AN1025" s="303"/>
    </row>
    <row r="1026" spans="7:40" s="302" customFormat="1" ht="11.75" customHeight="1" x14ac:dyDescent="0.15">
      <c r="G1026" s="300"/>
      <c r="H1026" s="301"/>
      <c r="I1026" s="301"/>
      <c r="J1026" s="301"/>
      <c r="K1026" s="301"/>
      <c r="L1026" s="301"/>
      <c r="M1026" s="301"/>
      <c r="N1026" s="301"/>
      <c r="O1026" s="301"/>
      <c r="P1026" s="301"/>
      <c r="Q1026" s="301"/>
      <c r="R1026" s="301"/>
      <c r="S1026" s="301"/>
      <c r="T1026" s="301"/>
      <c r="U1026" s="301"/>
      <c r="V1026" s="301"/>
      <c r="W1026" s="301"/>
      <c r="X1026" s="301"/>
      <c r="Y1026" s="301"/>
      <c r="Z1026" s="301"/>
      <c r="AA1026" s="301"/>
      <c r="AB1026" s="301"/>
      <c r="AC1026" s="301"/>
      <c r="AD1026" s="301"/>
      <c r="AE1026" s="301"/>
      <c r="AH1026" s="303"/>
      <c r="AI1026" s="303"/>
      <c r="AJ1026" s="303"/>
      <c r="AK1026" s="303"/>
      <c r="AL1026" s="303"/>
      <c r="AM1026" s="303"/>
      <c r="AN1026" s="303"/>
    </row>
    <row r="1027" spans="7:40" s="302" customFormat="1" ht="11.75" customHeight="1" x14ac:dyDescent="0.15">
      <c r="G1027" s="300"/>
      <c r="H1027" s="301"/>
      <c r="I1027" s="301"/>
      <c r="J1027" s="301"/>
      <c r="K1027" s="301"/>
      <c r="L1027" s="301"/>
      <c r="M1027" s="301"/>
      <c r="N1027" s="301"/>
      <c r="O1027" s="301"/>
      <c r="P1027" s="301"/>
      <c r="Q1027" s="301"/>
      <c r="R1027" s="301"/>
      <c r="S1027" s="301"/>
      <c r="T1027" s="301"/>
      <c r="U1027" s="301"/>
      <c r="V1027" s="301"/>
      <c r="W1027" s="301"/>
      <c r="X1027" s="301"/>
      <c r="Y1027" s="301"/>
      <c r="Z1027" s="301"/>
      <c r="AA1027" s="301"/>
      <c r="AB1027" s="301"/>
      <c r="AC1027" s="301"/>
      <c r="AD1027" s="301"/>
      <c r="AE1027" s="301"/>
      <c r="AH1027" s="303"/>
      <c r="AI1027" s="303"/>
      <c r="AJ1027" s="303"/>
      <c r="AK1027" s="303"/>
      <c r="AL1027" s="303"/>
      <c r="AM1027" s="303"/>
      <c r="AN1027" s="303"/>
    </row>
    <row r="1028" spans="7:40" s="302" customFormat="1" ht="11.75" customHeight="1" x14ac:dyDescent="0.15">
      <c r="G1028" s="300"/>
      <c r="H1028" s="301"/>
      <c r="I1028" s="301"/>
      <c r="J1028" s="301"/>
      <c r="K1028" s="301"/>
      <c r="L1028" s="301"/>
      <c r="M1028" s="301"/>
      <c r="N1028" s="301"/>
      <c r="O1028" s="301"/>
      <c r="P1028" s="301"/>
      <c r="Q1028" s="301"/>
      <c r="R1028" s="301"/>
      <c r="S1028" s="301"/>
      <c r="T1028" s="301"/>
      <c r="U1028" s="301"/>
      <c r="V1028" s="301"/>
      <c r="W1028" s="301"/>
      <c r="X1028" s="301"/>
      <c r="Y1028" s="301"/>
      <c r="Z1028" s="301"/>
      <c r="AA1028" s="301"/>
      <c r="AB1028" s="301"/>
      <c r="AC1028" s="301"/>
      <c r="AD1028" s="301"/>
      <c r="AE1028" s="301"/>
      <c r="AH1028" s="303"/>
      <c r="AI1028" s="303"/>
      <c r="AJ1028" s="303"/>
      <c r="AK1028" s="303"/>
      <c r="AL1028" s="303"/>
      <c r="AM1028" s="303"/>
      <c r="AN1028" s="303"/>
    </row>
    <row r="1029" spans="7:40" s="302" customFormat="1" ht="11.75" customHeight="1" x14ac:dyDescent="0.15">
      <c r="G1029" s="300"/>
      <c r="H1029" s="301"/>
      <c r="I1029" s="301"/>
      <c r="J1029" s="301"/>
      <c r="K1029" s="301"/>
      <c r="L1029" s="301"/>
      <c r="M1029" s="301"/>
      <c r="N1029" s="301"/>
      <c r="O1029" s="301"/>
      <c r="P1029" s="301"/>
      <c r="Q1029" s="301"/>
      <c r="R1029" s="301"/>
      <c r="S1029" s="301"/>
      <c r="T1029" s="301"/>
      <c r="U1029" s="301"/>
      <c r="V1029" s="301"/>
      <c r="W1029" s="301"/>
      <c r="X1029" s="301"/>
      <c r="Y1029" s="301"/>
      <c r="Z1029" s="301"/>
      <c r="AA1029" s="301"/>
      <c r="AB1029" s="301"/>
      <c r="AC1029" s="301"/>
      <c r="AD1029" s="301"/>
      <c r="AE1029" s="301"/>
      <c r="AH1029" s="303"/>
      <c r="AI1029" s="303"/>
      <c r="AJ1029" s="303"/>
      <c r="AK1029" s="303"/>
      <c r="AL1029" s="303"/>
      <c r="AM1029" s="303"/>
      <c r="AN1029" s="303"/>
    </row>
    <row r="1030" spans="7:40" s="302" customFormat="1" ht="11.75" customHeight="1" x14ac:dyDescent="0.15">
      <c r="G1030" s="300"/>
      <c r="H1030" s="301"/>
      <c r="I1030" s="301"/>
      <c r="J1030" s="301"/>
      <c r="K1030" s="301"/>
      <c r="L1030" s="301"/>
      <c r="M1030" s="301"/>
      <c r="N1030" s="301"/>
      <c r="O1030" s="301"/>
      <c r="P1030" s="301"/>
      <c r="Q1030" s="301"/>
      <c r="R1030" s="301"/>
      <c r="S1030" s="301"/>
      <c r="T1030" s="301"/>
      <c r="U1030" s="301"/>
      <c r="V1030" s="301"/>
      <c r="W1030" s="301"/>
      <c r="X1030" s="301"/>
      <c r="Y1030" s="301"/>
      <c r="Z1030" s="301"/>
      <c r="AA1030" s="301"/>
      <c r="AB1030" s="301"/>
      <c r="AC1030" s="301"/>
      <c r="AD1030" s="301"/>
      <c r="AE1030" s="301"/>
      <c r="AH1030" s="303"/>
      <c r="AI1030" s="303"/>
      <c r="AJ1030" s="303"/>
      <c r="AK1030" s="303"/>
      <c r="AL1030" s="303"/>
      <c r="AM1030" s="303"/>
      <c r="AN1030" s="303"/>
    </row>
    <row r="1031" spans="7:40" s="302" customFormat="1" ht="11.75" customHeight="1" x14ac:dyDescent="0.15">
      <c r="G1031" s="300"/>
      <c r="H1031" s="301"/>
      <c r="I1031" s="301"/>
      <c r="J1031" s="301"/>
      <c r="K1031" s="301"/>
      <c r="L1031" s="301"/>
      <c r="M1031" s="301"/>
      <c r="N1031" s="301"/>
      <c r="O1031" s="301"/>
      <c r="P1031" s="301"/>
      <c r="Q1031" s="301"/>
      <c r="R1031" s="301"/>
      <c r="S1031" s="301"/>
      <c r="T1031" s="301"/>
      <c r="U1031" s="301"/>
      <c r="V1031" s="301"/>
      <c r="W1031" s="301"/>
      <c r="X1031" s="301"/>
      <c r="Y1031" s="301"/>
      <c r="Z1031" s="301"/>
      <c r="AA1031" s="301"/>
      <c r="AB1031" s="301"/>
      <c r="AC1031" s="301"/>
      <c r="AD1031" s="301"/>
      <c r="AE1031" s="301"/>
      <c r="AH1031" s="303"/>
      <c r="AI1031" s="303"/>
      <c r="AJ1031" s="303"/>
      <c r="AK1031" s="303"/>
      <c r="AL1031" s="303"/>
      <c r="AM1031" s="303"/>
      <c r="AN1031" s="303"/>
    </row>
    <row r="1032" spans="7:40" s="302" customFormat="1" ht="11.75" customHeight="1" x14ac:dyDescent="0.15">
      <c r="G1032" s="300"/>
      <c r="H1032" s="301"/>
      <c r="I1032" s="301"/>
      <c r="J1032" s="301"/>
      <c r="K1032" s="301"/>
      <c r="L1032" s="301"/>
      <c r="M1032" s="301"/>
      <c r="N1032" s="301"/>
      <c r="O1032" s="301"/>
      <c r="P1032" s="301"/>
      <c r="Q1032" s="301"/>
      <c r="R1032" s="301"/>
      <c r="S1032" s="301"/>
      <c r="T1032" s="301"/>
      <c r="U1032" s="301"/>
      <c r="V1032" s="301"/>
      <c r="W1032" s="301"/>
      <c r="X1032" s="301"/>
      <c r="Y1032" s="301"/>
      <c r="Z1032" s="301"/>
      <c r="AA1032" s="301"/>
      <c r="AB1032" s="301"/>
      <c r="AC1032" s="301"/>
      <c r="AD1032" s="301"/>
      <c r="AE1032" s="301"/>
      <c r="AH1032" s="303"/>
      <c r="AI1032" s="303"/>
      <c r="AJ1032" s="303"/>
      <c r="AK1032" s="303"/>
      <c r="AL1032" s="303"/>
      <c r="AM1032" s="303"/>
      <c r="AN1032" s="303"/>
    </row>
    <row r="1033" spans="7:40" s="302" customFormat="1" ht="11.75" customHeight="1" x14ac:dyDescent="0.15">
      <c r="G1033" s="300"/>
      <c r="H1033" s="301"/>
      <c r="I1033" s="301"/>
      <c r="J1033" s="301"/>
      <c r="K1033" s="301"/>
      <c r="L1033" s="301"/>
      <c r="M1033" s="301"/>
      <c r="N1033" s="301"/>
      <c r="O1033" s="301"/>
      <c r="P1033" s="301"/>
      <c r="Q1033" s="301"/>
      <c r="R1033" s="301"/>
      <c r="S1033" s="301"/>
      <c r="T1033" s="301"/>
      <c r="U1033" s="301"/>
      <c r="V1033" s="301"/>
      <c r="W1033" s="301"/>
      <c r="X1033" s="301"/>
      <c r="Y1033" s="301"/>
      <c r="Z1033" s="301"/>
      <c r="AA1033" s="301"/>
      <c r="AB1033" s="301"/>
      <c r="AC1033" s="301"/>
      <c r="AD1033" s="301"/>
      <c r="AE1033" s="301"/>
      <c r="AH1033" s="303"/>
      <c r="AI1033" s="303"/>
      <c r="AJ1033" s="303"/>
      <c r="AK1033" s="303"/>
      <c r="AL1033" s="303"/>
      <c r="AM1033" s="303"/>
      <c r="AN1033" s="303"/>
    </row>
    <row r="1034" spans="7:40" ht="11.75" customHeight="1" x14ac:dyDescent="0.15"/>
    <row r="1035" spans="7:40" ht="11.75" customHeight="1" x14ac:dyDescent="0.15"/>
    <row r="1036" spans="7:40" ht="11.75" customHeight="1" x14ac:dyDescent="0.15"/>
    <row r="1037" spans="7:40" ht="11.75" customHeight="1" x14ac:dyDescent="0.15"/>
    <row r="1038" spans="7:40" ht="11.75" customHeight="1" x14ac:dyDescent="0.15"/>
    <row r="1039" spans="7:40" ht="11.75" customHeight="1" x14ac:dyDescent="0.15"/>
    <row r="1040" spans="7:40" ht="11.75" customHeight="1" x14ac:dyDescent="0.15"/>
    <row r="1041" ht="11.75" customHeight="1" x14ac:dyDescent="0.15"/>
    <row r="1042" ht="11.75" customHeight="1" x14ac:dyDescent="0.15"/>
    <row r="1043" ht="11.75" customHeight="1" x14ac:dyDescent="0.15"/>
    <row r="1044" ht="11.75" customHeight="1" x14ac:dyDescent="0.15"/>
    <row r="1045" ht="11.75" customHeight="1" x14ac:dyDescent="0.15"/>
    <row r="1046" ht="11.75" customHeight="1" x14ac:dyDescent="0.15"/>
    <row r="1047" ht="11.75" customHeight="1" x14ac:dyDescent="0.15"/>
    <row r="1048" ht="11.75" customHeight="1" x14ac:dyDescent="0.15"/>
    <row r="1049" ht="11.75" customHeight="1" x14ac:dyDescent="0.15"/>
    <row r="1050" ht="11.75" customHeight="1" x14ac:dyDescent="0.15"/>
    <row r="1051" ht="11.75" customHeight="1" x14ac:dyDescent="0.15"/>
    <row r="1052" ht="11.75" customHeight="1" x14ac:dyDescent="0.15"/>
    <row r="1053" ht="11.75" customHeight="1" x14ac:dyDescent="0.15"/>
    <row r="1054" ht="11.75" customHeight="1" x14ac:dyDescent="0.15"/>
    <row r="1055" ht="11.75" customHeight="1" x14ac:dyDescent="0.15"/>
    <row r="1056" ht="11.75" customHeight="1" x14ac:dyDescent="0.15"/>
    <row r="1057" ht="11.75" customHeight="1" x14ac:dyDescent="0.15"/>
    <row r="1058" ht="11.75" customHeight="1" x14ac:dyDescent="0.15"/>
    <row r="1059" ht="11.75" customHeight="1" x14ac:dyDescent="0.15"/>
    <row r="1060" ht="11.75" customHeight="1" x14ac:dyDescent="0.15"/>
    <row r="1061" ht="11.75" customHeight="1" x14ac:dyDescent="0.15"/>
    <row r="1062" ht="11.75" customHeight="1" x14ac:dyDescent="0.15"/>
    <row r="1063" ht="11.75" customHeight="1" x14ac:dyDescent="0.15"/>
    <row r="1064" ht="11.75" customHeight="1" x14ac:dyDescent="0.15"/>
    <row r="1065" ht="11.75" customHeight="1" x14ac:dyDescent="0.15"/>
    <row r="1066" ht="11.75" customHeight="1" x14ac:dyDescent="0.15"/>
    <row r="1067" ht="11.75" customHeight="1" x14ac:dyDescent="0.15"/>
    <row r="1068" ht="11.75" customHeight="1" x14ac:dyDescent="0.15"/>
    <row r="1069" ht="11.75" customHeight="1" x14ac:dyDescent="0.15"/>
    <row r="1070" ht="11.75" customHeight="1" x14ac:dyDescent="0.15"/>
    <row r="1071" ht="11.75" customHeight="1" x14ac:dyDescent="0.15"/>
    <row r="1072" ht="11.75" customHeight="1" x14ac:dyDescent="0.15"/>
    <row r="1073" ht="11.75" customHeight="1" x14ac:dyDescent="0.15"/>
    <row r="1074" ht="11.75" customHeight="1" x14ac:dyDescent="0.15"/>
    <row r="1075" ht="11.75" customHeight="1" x14ac:dyDescent="0.15"/>
    <row r="1076" ht="11.75" customHeight="1" x14ac:dyDescent="0.15"/>
    <row r="1077" ht="11.75" customHeight="1" x14ac:dyDescent="0.15"/>
    <row r="1078" ht="11.75" customHeight="1" x14ac:dyDescent="0.15"/>
    <row r="1079" ht="11.75" customHeight="1" x14ac:dyDescent="0.15"/>
    <row r="1080" ht="11.75" customHeight="1" x14ac:dyDescent="0.15"/>
    <row r="1081" ht="11.75" customHeight="1" x14ac:dyDescent="0.15"/>
    <row r="1082" ht="11.75" customHeight="1" x14ac:dyDescent="0.15"/>
    <row r="1083" ht="11.75" customHeight="1" x14ac:dyDescent="0.15"/>
    <row r="1084" ht="11.75" customHeight="1" x14ac:dyDescent="0.15"/>
    <row r="1085" ht="11.75" customHeight="1" x14ac:dyDescent="0.15"/>
    <row r="1086" ht="11.75" customHeight="1" x14ac:dyDescent="0.15"/>
    <row r="1087" ht="11.75" customHeight="1" x14ac:dyDescent="0.15"/>
    <row r="1088" ht="11.75" customHeight="1" x14ac:dyDescent="0.15"/>
    <row r="1089" ht="11.75" customHeight="1" x14ac:dyDescent="0.15"/>
    <row r="1090" ht="11.75" customHeight="1" x14ac:dyDescent="0.15"/>
    <row r="1091" ht="11.75" customHeight="1" x14ac:dyDescent="0.15"/>
    <row r="1092" ht="11.75" customHeight="1" x14ac:dyDescent="0.15"/>
    <row r="1093" ht="11.75" customHeight="1" x14ac:dyDescent="0.15"/>
    <row r="1094" ht="11.75" customHeight="1" x14ac:dyDescent="0.15"/>
    <row r="1095" ht="11.75" customHeight="1" x14ac:dyDescent="0.15"/>
    <row r="1096" ht="11.75" customHeight="1" x14ac:dyDescent="0.15"/>
    <row r="1097" ht="11.75" customHeight="1" x14ac:dyDescent="0.15"/>
    <row r="1098" ht="11.75" customHeight="1" x14ac:dyDescent="0.15"/>
    <row r="1099" ht="11.75" customHeight="1" x14ac:dyDescent="0.15"/>
    <row r="1100" ht="11.75" customHeight="1" x14ac:dyDescent="0.15"/>
    <row r="1101" ht="11.75" customHeight="1" x14ac:dyDescent="0.15"/>
    <row r="1102" ht="11.75" customHeight="1" x14ac:dyDescent="0.15"/>
    <row r="1103" ht="11.75" customHeight="1" x14ac:dyDescent="0.15"/>
    <row r="1104" ht="11.75" customHeight="1" x14ac:dyDescent="0.15"/>
    <row r="1105" ht="11.75" customHeight="1" x14ac:dyDescent="0.15"/>
    <row r="1106" ht="11.75" customHeight="1" x14ac:dyDescent="0.15"/>
    <row r="1107" ht="11.75" customHeight="1" x14ac:dyDescent="0.15"/>
    <row r="1108" ht="11.75" customHeight="1" x14ac:dyDescent="0.15"/>
    <row r="1109" ht="11.75" customHeight="1" x14ac:dyDescent="0.15"/>
    <row r="1110" ht="11.75" customHeight="1" x14ac:dyDescent="0.15"/>
    <row r="1111" ht="11.75" customHeight="1" x14ac:dyDescent="0.15"/>
    <row r="1112" ht="11.75" customHeight="1" x14ac:dyDescent="0.15"/>
    <row r="1113" ht="11.75" customHeight="1" x14ac:dyDescent="0.15"/>
    <row r="1114" ht="11.75" customHeight="1" x14ac:dyDescent="0.15"/>
    <row r="1115" ht="11.75" customHeight="1" x14ac:dyDescent="0.15"/>
    <row r="1116" ht="11.75" customHeight="1" x14ac:dyDescent="0.15"/>
    <row r="1117" ht="11.75" customHeight="1" x14ac:dyDescent="0.15"/>
    <row r="1118" ht="11.75" customHeight="1" x14ac:dyDescent="0.15"/>
    <row r="1119" ht="11.75" customHeight="1" x14ac:dyDescent="0.15"/>
    <row r="1120" ht="11.75" customHeight="1" x14ac:dyDescent="0.15"/>
    <row r="1121" ht="11.75" customHeight="1" x14ac:dyDescent="0.15"/>
    <row r="1122" ht="11.75" customHeight="1" x14ac:dyDescent="0.15"/>
    <row r="1123" ht="11.75" customHeight="1" x14ac:dyDescent="0.15"/>
    <row r="1124" ht="11.75" customHeight="1" x14ac:dyDescent="0.15"/>
    <row r="1125" ht="11.75" customHeight="1" x14ac:dyDescent="0.15"/>
    <row r="1126" ht="11.75" customHeight="1" x14ac:dyDescent="0.15"/>
    <row r="1127" ht="11.75" customHeight="1" x14ac:dyDescent="0.15"/>
    <row r="1128" ht="11.75" customHeight="1" x14ac:dyDescent="0.15"/>
    <row r="1129" ht="11.75" customHeight="1" x14ac:dyDescent="0.15"/>
    <row r="1130" ht="11.75" customHeight="1" x14ac:dyDescent="0.15"/>
    <row r="1131" ht="11.75" customHeight="1" x14ac:dyDescent="0.15"/>
    <row r="1132" ht="11.75" customHeight="1" x14ac:dyDescent="0.15"/>
    <row r="1133" ht="11.75" customHeight="1" x14ac:dyDescent="0.15"/>
    <row r="1134" ht="11.75" customHeight="1" x14ac:dyDescent="0.15"/>
    <row r="1135" ht="11.75" customHeight="1" x14ac:dyDescent="0.15"/>
    <row r="1136" ht="11.75" customHeight="1" x14ac:dyDescent="0.15"/>
    <row r="1137" ht="11.75" customHeight="1" x14ac:dyDescent="0.15"/>
    <row r="1138" ht="11.75" customHeight="1" x14ac:dyDescent="0.15"/>
    <row r="1139" ht="11.75" customHeight="1" x14ac:dyDescent="0.15"/>
    <row r="1140" ht="11.75" customHeight="1" x14ac:dyDescent="0.15"/>
    <row r="1141" ht="11.75" customHeight="1" x14ac:dyDescent="0.15"/>
    <row r="1142" ht="11.75" customHeight="1" x14ac:dyDescent="0.15"/>
    <row r="1143" ht="11.75" customHeight="1" x14ac:dyDescent="0.15"/>
    <row r="1144" ht="11.75" customHeight="1" x14ac:dyDescent="0.15"/>
    <row r="1145" ht="11.75" customHeight="1" x14ac:dyDescent="0.15"/>
    <row r="1146" ht="11.75" customHeight="1" x14ac:dyDescent="0.15"/>
    <row r="1147" ht="11.75" customHeight="1" x14ac:dyDescent="0.15"/>
    <row r="1148" ht="11.75" customHeight="1" x14ac:dyDescent="0.15"/>
    <row r="1149" ht="11.75" customHeight="1" x14ac:dyDescent="0.15"/>
    <row r="1150" ht="11.75" customHeight="1" x14ac:dyDescent="0.15"/>
    <row r="1151" ht="11.75" customHeight="1" x14ac:dyDescent="0.15"/>
    <row r="1152" ht="11.75" customHeight="1" x14ac:dyDescent="0.15"/>
    <row r="1153" ht="11.75" customHeight="1" x14ac:dyDescent="0.15"/>
    <row r="1154" ht="11.75" customHeight="1" x14ac:dyDescent="0.15"/>
    <row r="1155" ht="11.75" customHeight="1" x14ac:dyDescent="0.15"/>
    <row r="1156" ht="11.75" customHeight="1" x14ac:dyDescent="0.15"/>
    <row r="1157" ht="11.75" customHeight="1" x14ac:dyDescent="0.15"/>
    <row r="1158" ht="11.75" customHeight="1" x14ac:dyDescent="0.15"/>
    <row r="1159" ht="11.75" customHeight="1" x14ac:dyDescent="0.15"/>
    <row r="1160" ht="11.75" customHeight="1" x14ac:dyDescent="0.15"/>
    <row r="1161" ht="11.75" customHeight="1" x14ac:dyDescent="0.15"/>
    <row r="1162" ht="11.75" customHeight="1" x14ac:dyDescent="0.15"/>
    <row r="1163" ht="11.75" customHeight="1" x14ac:dyDescent="0.15"/>
    <row r="1164" ht="11.75" customHeight="1" x14ac:dyDescent="0.15"/>
    <row r="1165" ht="11.75" customHeight="1" x14ac:dyDescent="0.15"/>
    <row r="1166" ht="11.75" customHeight="1" x14ac:dyDescent="0.15"/>
    <row r="1167" ht="11.75" customHeight="1" x14ac:dyDescent="0.15"/>
    <row r="1168" ht="11.75" customHeight="1" x14ac:dyDescent="0.15"/>
    <row r="1169" ht="11.75" customHeight="1" x14ac:dyDescent="0.15"/>
    <row r="1170" ht="11.75" customHeight="1" x14ac:dyDescent="0.15"/>
    <row r="1171" ht="11.75" customHeight="1" x14ac:dyDescent="0.15"/>
    <row r="1172" ht="11.75" customHeight="1" x14ac:dyDescent="0.15"/>
    <row r="1173" ht="11.75" customHeight="1" x14ac:dyDescent="0.15"/>
    <row r="1174" ht="11.75" customHeight="1" x14ac:dyDescent="0.15"/>
    <row r="1175" ht="11.75" customHeight="1" x14ac:dyDescent="0.15"/>
    <row r="1176" ht="11.75" customHeight="1" x14ac:dyDescent="0.15"/>
    <row r="1177" ht="11.75" customHeight="1" x14ac:dyDescent="0.15"/>
    <row r="1178" ht="11.75" customHeight="1" x14ac:dyDescent="0.15"/>
    <row r="1179" ht="11.75" customHeight="1" x14ac:dyDescent="0.15"/>
    <row r="1180" ht="11.75" customHeight="1" x14ac:dyDescent="0.15"/>
    <row r="1181" ht="11.75" customHeight="1" x14ac:dyDescent="0.15"/>
    <row r="1182" ht="11.75" customHeight="1" x14ac:dyDescent="0.15"/>
    <row r="1183" ht="11.75" customHeight="1" x14ac:dyDescent="0.15"/>
    <row r="1184" ht="11.75" customHeight="1" x14ac:dyDescent="0.15"/>
    <row r="1185" ht="11.75" customHeight="1" x14ac:dyDescent="0.15"/>
    <row r="1186" ht="11.75" customHeight="1" x14ac:dyDescent="0.15"/>
    <row r="1187" ht="11.75" customHeight="1" x14ac:dyDescent="0.15"/>
    <row r="1188" ht="11.75" customHeight="1" x14ac:dyDescent="0.15"/>
    <row r="1189" ht="11.75" customHeight="1" x14ac:dyDescent="0.15"/>
    <row r="1190" ht="11.75" customHeight="1" x14ac:dyDescent="0.15"/>
    <row r="1191" ht="11.75" customHeight="1" x14ac:dyDescent="0.15"/>
    <row r="1192" ht="11.75" customHeight="1" x14ac:dyDescent="0.15"/>
    <row r="1193" ht="11.75" customHeight="1" x14ac:dyDescent="0.15"/>
    <row r="1194" ht="11.75" customHeight="1" x14ac:dyDescent="0.15"/>
    <row r="1195" ht="11.75" customHeight="1" x14ac:dyDescent="0.15"/>
    <row r="1196" ht="11.75" customHeight="1" x14ac:dyDescent="0.15"/>
    <row r="1197" ht="11.75" customHeight="1" x14ac:dyDescent="0.15"/>
    <row r="1198" ht="11.75" customHeight="1" x14ac:dyDescent="0.15"/>
    <row r="1199" ht="11.75" customHeight="1" x14ac:dyDescent="0.15"/>
    <row r="1200" ht="11.75" customHeight="1" x14ac:dyDescent="0.15"/>
    <row r="1201" ht="11.75" customHeight="1" x14ac:dyDescent="0.15"/>
    <row r="1202" ht="11.75" customHeight="1" x14ac:dyDescent="0.15"/>
    <row r="1203" ht="11.75" customHeight="1" x14ac:dyDescent="0.15"/>
    <row r="1204" ht="11.75" customHeight="1" x14ac:dyDescent="0.15"/>
    <row r="1205" ht="11.75" customHeight="1" x14ac:dyDescent="0.15"/>
    <row r="1206" ht="11.75" customHeight="1" x14ac:dyDescent="0.15"/>
    <row r="1207" ht="11.75" customHeight="1" x14ac:dyDescent="0.15"/>
    <row r="1208" ht="11.75" customHeight="1" x14ac:dyDescent="0.15"/>
    <row r="1209" ht="11.75" customHeight="1" x14ac:dyDescent="0.15"/>
    <row r="1210" ht="11.75" customHeight="1" x14ac:dyDescent="0.15"/>
    <row r="1211" ht="11.75" customHeight="1" x14ac:dyDescent="0.15"/>
    <row r="1212" ht="11.75" customHeight="1" x14ac:dyDescent="0.15"/>
    <row r="1213" ht="11.75" customHeight="1" x14ac:dyDescent="0.15"/>
    <row r="1214" ht="11.75" customHeight="1" x14ac:dyDescent="0.15"/>
    <row r="1215" ht="11.75" customHeight="1" x14ac:dyDescent="0.15"/>
    <row r="1216" ht="11.75" customHeight="1" x14ac:dyDescent="0.15"/>
    <row r="1217" ht="11.75" customHeight="1" x14ac:dyDescent="0.15"/>
    <row r="1218" ht="11.75" customHeight="1" x14ac:dyDescent="0.15"/>
    <row r="1219" ht="11.75" customHeight="1" x14ac:dyDescent="0.15"/>
    <row r="1220" ht="11.75" customHeight="1" x14ac:dyDescent="0.15"/>
    <row r="1221" ht="11.75" customHeight="1" x14ac:dyDescent="0.15"/>
    <row r="1222" ht="11.75" customHeight="1" x14ac:dyDescent="0.15"/>
    <row r="1223" ht="11.75" customHeight="1" x14ac:dyDescent="0.15"/>
    <row r="1224" ht="11.75" customHeight="1" x14ac:dyDescent="0.15"/>
    <row r="1225" ht="11.75" customHeight="1" x14ac:dyDescent="0.15"/>
    <row r="1226" ht="11.75" customHeight="1" x14ac:dyDescent="0.15"/>
    <row r="1227" ht="11.75" customHeight="1" x14ac:dyDescent="0.15"/>
    <row r="1228" ht="11.75" customHeight="1" x14ac:dyDescent="0.15"/>
    <row r="1229" ht="11.75" customHeight="1" x14ac:dyDescent="0.15"/>
    <row r="1230" ht="11.75" customHeight="1" x14ac:dyDescent="0.15"/>
    <row r="1231" ht="11.75" customHeight="1" x14ac:dyDescent="0.15"/>
    <row r="1232" ht="11.75" customHeight="1" x14ac:dyDescent="0.15"/>
    <row r="1233" ht="11.75" customHeight="1" x14ac:dyDescent="0.15"/>
    <row r="1234" ht="11.75" customHeight="1" x14ac:dyDescent="0.15"/>
    <row r="1235" ht="11.75" customHeight="1" x14ac:dyDescent="0.15"/>
    <row r="1236" ht="11.75" customHeight="1" x14ac:dyDescent="0.15"/>
    <row r="1237" ht="11.75" customHeight="1" x14ac:dyDescent="0.15"/>
    <row r="1238" ht="11.75" customHeight="1" x14ac:dyDescent="0.15"/>
    <row r="1239" ht="11.75" customHeight="1" x14ac:dyDescent="0.15"/>
    <row r="1240" ht="11.75" customHeight="1" x14ac:dyDescent="0.15"/>
    <row r="1241" ht="11.75" customHeight="1" x14ac:dyDescent="0.15"/>
    <row r="1242" ht="11.75" customHeight="1" x14ac:dyDescent="0.15"/>
    <row r="1243" ht="11.75" customHeight="1" x14ac:dyDescent="0.15"/>
    <row r="1244" ht="11.75" customHeight="1" x14ac:dyDescent="0.15"/>
    <row r="1245" ht="11.75" customHeight="1" x14ac:dyDescent="0.15"/>
    <row r="1246" ht="11.75" customHeight="1" x14ac:dyDescent="0.15"/>
    <row r="1247" ht="11.75" customHeight="1" x14ac:dyDescent="0.15"/>
    <row r="1248" ht="11.75" customHeight="1" x14ac:dyDescent="0.15"/>
    <row r="1249" ht="11.75" customHeight="1" x14ac:dyDescent="0.15"/>
    <row r="1250" ht="11.75" customHeight="1" x14ac:dyDescent="0.15"/>
    <row r="1251" ht="11.75" customHeight="1" x14ac:dyDescent="0.15"/>
    <row r="1252" ht="11.75" customHeight="1" x14ac:dyDescent="0.15"/>
    <row r="1253" ht="11.75" customHeight="1" x14ac:dyDescent="0.15"/>
    <row r="1254" ht="11.75" customHeight="1" x14ac:dyDescent="0.15"/>
    <row r="1255" ht="11.75" customHeight="1" x14ac:dyDescent="0.15"/>
  </sheetData>
  <mergeCells count="2395">
    <mergeCell ref="AQ728:AQ729"/>
    <mergeCell ref="AR728:AR729"/>
    <mergeCell ref="AK830:AK831"/>
    <mergeCell ref="AL830:AL831"/>
    <mergeCell ref="AM830:AM831"/>
    <mergeCell ref="AN830:AN831"/>
    <mergeCell ref="AO830:AO831"/>
    <mergeCell ref="AP830:AP831"/>
    <mergeCell ref="AQ830:AQ831"/>
    <mergeCell ref="AR830:AR831"/>
    <mergeCell ref="AO612:AO613"/>
    <mergeCell ref="AP612:AP613"/>
    <mergeCell ref="AQ612:AQ613"/>
    <mergeCell ref="AR612:AR613"/>
    <mergeCell ref="AK728:AK729"/>
    <mergeCell ref="AL728:AL729"/>
    <mergeCell ref="AM728:AM729"/>
    <mergeCell ref="AN728:AN729"/>
    <mergeCell ref="AO728:AO729"/>
    <mergeCell ref="AP728:AP729"/>
    <mergeCell ref="Z582:AB582"/>
    <mergeCell ref="AC582:AE582"/>
    <mergeCell ref="AK612:AK613"/>
    <mergeCell ref="AL612:AL613"/>
    <mergeCell ref="AM612:AM613"/>
    <mergeCell ref="AN612:AN613"/>
    <mergeCell ref="H582:J582"/>
    <mergeCell ref="K582:M582"/>
    <mergeCell ref="N582:P582"/>
    <mergeCell ref="Q582:S582"/>
    <mergeCell ref="T582:V582"/>
    <mergeCell ref="W582:Y582"/>
    <mergeCell ref="Z580:AB580"/>
    <mergeCell ref="AC580:AE580"/>
    <mergeCell ref="H581:J581"/>
    <mergeCell ref="K581:M581"/>
    <mergeCell ref="N581:P581"/>
    <mergeCell ref="Q581:S581"/>
    <mergeCell ref="T581:V581"/>
    <mergeCell ref="W581:Y581"/>
    <mergeCell ref="Z581:AB581"/>
    <mergeCell ref="AC581:AE581"/>
    <mergeCell ref="H580:J580"/>
    <mergeCell ref="K580:M580"/>
    <mergeCell ref="N580:P580"/>
    <mergeCell ref="Q580:S580"/>
    <mergeCell ref="T580:V580"/>
    <mergeCell ref="W580:Y580"/>
    <mergeCell ref="Z576:AB576"/>
    <mergeCell ref="AC576:AE576"/>
    <mergeCell ref="H577:J577"/>
    <mergeCell ref="K577:M577"/>
    <mergeCell ref="N577:P577"/>
    <mergeCell ref="Q577:S577"/>
    <mergeCell ref="T577:V577"/>
    <mergeCell ref="W577:Y577"/>
    <mergeCell ref="Z577:AB577"/>
    <mergeCell ref="AC577:AE577"/>
    <mergeCell ref="H576:J576"/>
    <mergeCell ref="K576:M576"/>
    <mergeCell ref="N576:P576"/>
    <mergeCell ref="Q576:S576"/>
    <mergeCell ref="T576:V576"/>
    <mergeCell ref="W576:Y576"/>
    <mergeCell ref="Z574:AB574"/>
    <mergeCell ref="AC574:AE574"/>
    <mergeCell ref="H575:J575"/>
    <mergeCell ref="K575:M575"/>
    <mergeCell ref="N575:P575"/>
    <mergeCell ref="Q575:S575"/>
    <mergeCell ref="T575:V575"/>
    <mergeCell ref="W575:Y575"/>
    <mergeCell ref="Z575:AB575"/>
    <mergeCell ref="AC575:AE575"/>
    <mergeCell ref="H574:J574"/>
    <mergeCell ref="K574:M574"/>
    <mergeCell ref="N574:P574"/>
    <mergeCell ref="Q574:S574"/>
    <mergeCell ref="T574:V574"/>
    <mergeCell ref="W574:Y574"/>
    <mergeCell ref="Z568:AB568"/>
    <mergeCell ref="AC568:AE568"/>
    <mergeCell ref="H573:J573"/>
    <mergeCell ref="K573:M573"/>
    <mergeCell ref="N573:P573"/>
    <mergeCell ref="Q573:S573"/>
    <mergeCell ref="T573:V573"/>
    <mergeCell ref="W573:Y573"/>
    <mergeCell ref="Z573:AB573"/>
    <mergeCell ref="AC573:AE573"/>
    <mergeCell ref="H568:J568"/>
    <mergeCell ref="K568:M568"/>
    <mergeCell ref="N568:P568"/>
    <mergeCell ref="Q568:S568"/>
    <mergeCell ref="T568:V568"/>
    <mergeCell ref="W568:Y568"/>
    <mergeCell ref="Z566:AB566"/>
    <mergeCell ref="AC566:AE566"/>
    <mergeCell ref="H567:J567"/>
    <mergeCell ref="K567:M567"/>
    <mergeCell ref="N567:P567"/>
    <mergeCell ref="Q567:S567"/>
    <mergeCell ref="T567:V567"/>
    <mergeCell ref="W567:Y567"/>
    <mergeCell ref="Z567:AB567"/>
    <mergeCell ref="AC567:AE567"/>
    <mergeCell ref="H566:J566"/>
    <mergeCell ref="K566:M566"/>
    <mergeCell ref="N566:P566"/>
    <mergeCell ref="Q566:S566"/>
    <mergeCell ref="T566:V566"/>
    <mergeCell ref="W566:Y566"/>
    <mergeCell ref="Z564:AB564"/>
    <mergeCell ref="AC564:AE564"/>
    <mergeCell ref="H565:J565"/>
    <mergeCell ref="K565:M565"/>
    <mergeCell ref="N565:P565"/>
    <mergeCell ref="Q565:S565"/>
    <mergeCell ref="T565:V565"/>
    <mergeCell ref="W565:Y565"/>
    <mergeCell ref="Z565:AB565"/>
    <mergeCell ref="AC565:AE565"/>
    <mergeCell ref="H564:J564"/>
    <mergeCell ref="K564:M564"/>
    <mergeCell ref="N564:P564"/>
    <mergeCell ref="Q564:S564"/>
    <mergeCell ref="T564:V564"/>
    <mergeCell ref="W564:Y564"/>
    <mergeCell ref="Z562:AB562"/>
    <mergeCell ref="AC562:AE562"/>
    <mergeCell ref="H563:J563"/>
    <mergeCell ref="K563:M563"/>
    <mergeCell ref="N563:P563"/>
    <mergeCell ref="Q563:S563"/>
    <mergeCell ref="T563:V563"/>
    <mergeCell ref="W563:Y563"/>
    <mergeCell ref="Z563:AB563"/>
    <mergeCell ref="AC563:AE563"/>
    <mergeCell ref="H562:J562"/>
    <mergeCell ref="K562:M562"/>
    <mergeCell ref="N562:P562"/>
    <mergeCell ref="Q562:S562"/>
    <mergeCell ref="T562:V562"/>
    <mergeCell ref="W562:Y562"/>
    <mergeCell ref="Z560:AB560"/>
    <mergeCell ref="AC560:AE560"/>
    <mergeCell ref="H561:J561"/>
    <mergeCell ref="K561:M561"/>
    <mergeCell ref="N561:P561"/>
    <mergeCell ref="Q561:S561"/>
    <mergeCell ref="T561:V561"/>
    <mergeCell ref="W561:Y561"/>
    <mergeCell ref="Z561:AB561"/>
    <mergeCell ref="AC561:AE561"/>
    <mergeCell ref="H560:J560"/>
    <mergeCell ref="K560:M560"/>
    <mergeCell ref="N560:P560"/>
    <mergeCell ref="Q560:S560"/>
    <mergeCell ref="T560:V560"/>
    <mergeCell ref="W560:Y560"/>
    <mergeCell ref="Z558:AB558"/>
    <mergeCell ref="AC558:AE558"/>
    <mergeCell ref="H559:J559"/>
    <mergeCell ref="K559:M559"/>
    <mergeCell ref="N559:P559"/>
    <mergeCell ref="Q559:S559"/>
    <mergeCell ref="T559:V559"/>
    <mergeCell ref="W559:Y559"/>
    <mergeCell ref="Z559:AB559"/>
    <mergeCell ref="AC559:AE559"/>
    <mergeCell ref="H558:J558"/>
    <mergeCell ref="K558:M558"/>
    <mergeCell ref="N558:P558"/>
    <mergeCell ref="Q558:S558"/>
    <mergeCell ref="T558:V558"/>
    <mergeCell ref="W558:Y558"/>
    <mergeCell ref="Z556:AB556"/>
    <mergeCell ref="AC556:AE556"/>
    <mergeCell ref="H557:J557"/>
    <mergeCell ref="K557:M557"/>
    <mergeCell ref="N557:P557"/>
    <mergeCell ref="Q557:S557"/>
    <mergeCell ref="T557:V557"/>
    <mergeCell ref="W557:Y557"/>
    <mergeCell ref="Z557:AB557"/>
    <mergeCell ref="AC557:AE557"/>
    <mergeCell ref="H556:J556"/>
    <mergeCell ref="K556:M556"/>
    <mergeCell ref="N556:P556"/>
    <mergeCell ref="Q556:S556"/>
    <mergeCell ref="T556:V556"/>
    <mergeCell ref="W556:Y556"/>
    <mergeCell ref="Z554:AB554"/>
    <mergeCell ref="AC554:AE554"/>
    <mergeCell ref="H555:J555"/>
    <mergeCell ref="K555:M555"/>
    <mergeCell ref="N555:P555"/>
    <mergeCell ref="Q555:S555"/>
    <mergeCell ref="T555:V555"/>
    <mergeCell ref="W555:Y555"/>
    <mergeCell ref="Z555:AB555"/>
    <mergeCell ref="AC555:AE555"/>
    <mergeCell ref="H554:J554"/>
    <mergeCell ref="K554:M554"/>
    <mergeCell ref="N554:P554"/>
    <mergeCell ref="Q554:S554"/>
    <mergeCell ref="T554:V554"/>
    <mergeCell ref="W554:Y554"/>
    <mergeCell ref="Z552:AB552"/>
    <mergeCell ref="AC552:AE552"/>
    <mergeCell ref="H553:J553"/>
    <mergeCell ref="K553:M553"/>
    <mergeCell ref="N553:P553"/>
    <mergeCell ref="Q553:S553"/>
    <mergeCell ref="T553:V553"/>
    <mergeCell ref="W553:Y553"/>
    <mergeCell ref="Z553:AB553"/>
    <mergeCell ref="AC553:AE553"/>
    <mergeCell ref="H552:J552"/>
    <mergeCell ref="K552:M552"/>
    <mergeCell ref="N552:P552"/>
    <mergeCell ref="Q552:S552"/>
    <mergeCell ref="T552:V552"/>
    <mergeCell ref="W552:Y552"/>
    <mergeCell ref="Z550:AB550"/>
    <mergeCell ref="AC550:AE550"/>
    <mergeCell ref="H551:J551"/>
    <mergeCell ref="K551:M551"/>
    <mergeCell ref="N551:P551"/>
    <mergeCell ref="Q551:S551"/>
    <mergeCell ref="T551:V551"/>
    <mergeCell ref="W551:Y551"/>
    <mergeCell ref="Z551:AB551"/>
    <mergeCell ref="AC551:AE551"/>
    <mergeCell ref="H550:J550"/>
    <mergeCell ref="K550:M550"/>
    <mergeCell ref="N550:P550"/>
    <mergeCell ref="Q550:S550"/>
    <mergeCell ref="T550:V550"/>
    <mergeCell ref="W550:Y550"/>
    <mergeCell ref="Z548:AB548"/>
    <mergeCell ref="AC548:AE548"/>
    <mergeCell ref="H549:J549"/>
    <mergeCell ref="K549:M549"/>
    <mergeCell ref="N549:P549"/>
    <mergeCell ref="Q549:S549"/>
    <mergeCell ref="T549:V549"/>
    <mergeCell ref="W549:Y549"/>
    <mergeCell ref="Z549:AB549"/>
    <mergeCell ref="AC549:AE549"/>
    <mergeCell ref="H548:J548"/>
    <mergeCell ref="K548:M548"/>
    <mergeCell ref="N548:P548"/>
    <mergeCell ref="Q548:S548"/>
    <mergeCell ref="T548:V548"/>
    <mergeCell ref="W548:Y548"/>
    <mergeCell ref="Z546:AB546"/>
    <mergeCell ref="AC546:AE546"/>
    <mergeCell ref="H547:J547"/>
    <mergeCell ref="K547:M547"/>
    <mergeCell ref="N547:P547"/>
    <mergeCell ref="Q547:S547"/>
    <mergeCell ref="T547:V547"/>
    <mergeCell ref="W547:Y547"/>
    <mergeCell ref="Z547:AB547"/>
    <mergeCell ref="AC547:AE547"/>
    <mergeCell ref="H546:J546"/>
    <mergeCell ref="K546:M546"/>
    <mergeCell ref="N546:P546"/>
    <mergeCell ref="Q546:S546"/>
    <mergeCell ref="T546:V546"/>
    <mergeCell ref="W546:Y546"/>
    <mergeCell ref="Z544:AB544"/>
    <mergeCell ref="AC544:AE544"/>
    <mergeCell ref="H545:J545"/>
    <mergeCell ref="K545:M545"/>
    <mergeCell ref="N545:P545"/>
    <mergeCell ref="Q545:S545"/>
    <mergeCell ref="T545:V545"/>
    <mergeCell ref="W545:Y545"/>
    <mergeCell ref="Z545:AB545"/>
    <mergeCell ref="AC545:AE545"/>
    <mergeCell ref="H544:J544"/>
    <mergeCell ref="K544:M544"/>
    <mergeCell ref="N544:P544"/>
    <mergeCell ref="Q544:S544"/>
    <mergeCell ref="T544:V544"/>
    <mergeCell ref="W544:Y544"/>
    <mergeCell ref="Z542:AB542"/>
    <mergeCell ref="AC542:AE542"/>
    <mergeCell ref="H543:J543"/>
    <mergeCell ref="K543:M543"/>
    <mergeCell ref="N543:P543"/>
    <mergeCell ref="Q543:S543"/>
    <mergeCell ref="T543:V543"/>
    <mergeCell ref="W543:Y543"/>
    <mergeCell ref="Z543:AB543"/>
    <mergeCell ref="AC543:AE543"/>
    <mergeCell ref="H542:J542"/>
    <mergeCell ref="K542:M542"/>
    <mergeCell ref="N542:P542"/>
    <mergeCell ref="Q542:S542"/>
    <mergeCell ref="T542:V542"/>
    <mergeCell ref="W542:Y542"/>
    <mergeCell ref="Z540:AB540"/>
    <mergeCell ref="AC540:AE540"/>
    <mergeCell ref="H541:J541"/>
    <mergeCell ref="K541:M541"/>
    <mergeCell ref="N541:P541"/>
    <mergeCell ref="Q541:S541"/>
    <mergeCell ref="T541:V541"/>
    <mergeCell ref="W541:Y541"/>
    <mergeCell ref="Z541:AB541"/>
    <mergeCell ref="AC541:AE541"/>
    <mergeCell ref="H540:J540"/>
    <mergeCell ref="K540:M540"/>
    <mergeCell ref="N540:P540"/>
    <mergeCell ref="Q540:S540"/>
    <mergeCell ref="T540:V540"/>
    <mergeCell ref="W540:Y540"/>
    <mergeCell ref="Z538:AB538"/>
    <mergeCell ref="AC538:AE538"/>
    <mergeCell ref="H539:J539"/>
    <mergeCell ref="K539:M539"/>
    <mergeCell ref="N539:P539"/>
    <mergeCell ref="Q539:S539"/>
    <mergeCell ref="T539:V539"/>
    <mergeCell ref="W539:Y539"/>
    <mergeCell ref="Z539:AB539"/>
    <mergeCell ref="AC539:AE539"/>
    <mergeCell ref="H538:J538"/>
    <mergeCell ref="K538:M538"/>
    <mergeCell ref="N538:P538"/>
    <mergeCell ref="Q538:S538"/>
    <mergeCell ref="T538:V538"/>
    <mergeCell ref="W538:Y538"/>
    <mergeCell ref="Z536:AB536"/>
    <mergeCell ref="AC536:AE536"/>
    <mergeCell ref="H537:J537"/>
    <mergeCell ref="K537:M537"/>
    <mergeCell ref="N537:P537"/>
    <mergeCell ref="Q537:S537"/>
    <mergeCell ref="T537:V537"/>
    <mergeCell ref="W537:Y537"/>
    <mergeCell ref="Z537:AB537"/>
    <mergeCell ref="AC537:AE537"/>
    <mergeCell ref="H536:J536"/>
    <mergeCell ref="K536:M536"/>
    <mergeCell ref="N536:P536"/>
    <mergeCell ref="Q536:S536"/>
    <mergeCell ref="T536:V536"/>
    <mergeCell ref="W536:Y536"/>
    <mergeCell ref="H534:AE534"/>
    <mergeCell ref="H535:J535"/>
    <mergeCell ref="K535:M535"/>
    <mergeCell ref="N535:P535"/>
    <mergeCell ref="Q535:S535"/>
    <mergeCell ref="T535:V535"/>
    <mergeCell ref="W535:Y535"/>
    <mergeCell ref="Z535:AB535"/>
    <mergeCell ref="AC535:AE535"/>
    <mergeCell ref="Z530:AB530"/>
    <mergeCell ref="AC530:AE530"/>
    <mergeCell ref="H531:J531"/>
    <mergeCell ref="K531:M531"/>
    <mergeCell ref="N531:P531"/>
    <mergeCell ref="Q531:S531"/>
    <mergeCell ref="T531:V531"/>
    <mergeCell ref="W531:Y531"/>
    <mergeCell ref="Z531:AB531"/>
    <mergeCell ref="AC531:AE531"/>
    <mergeCell ref="H530:J530"/>
    <mergeCell ref="K530:M530"/>
    <mergeCell ref="N530:P530"/>
    <mergeCell ref="Q530:S530"/>
    <mergeCell ref="T530:V530"/>
    <mergeCell ref="W530:Y530"/>
    <mergeCell ref="Z528:AB528"/>
    <mergeCell ref="AC528:AE528"/>
    <mergeCell ref="H529:J529"/>
    <mergeCell ref="K529:M529"/>
    <mergeCell ref="N529:P529"/>
    <mergeCell ref="Q529:S529"/>
    <mergeCell ref="T529:V529"/>
    <mergeCell ref="W529:Y529"/>
    <mergeCell ref="Z529:AB529"/>
    <mergeCell ref="AC529:AE529"/>
    <mergeCell ref="H528:J528"/>
    <mergeCell ref="K528:M528"/>
    <mergeCell ref="N528:P528"/>
    <mergeCell ref="Q528:S528"/>
    <mergeCell ref="T528:V528"/>
    <mergeCell ref="W528:Y528"/>
    <mergeCell ref="Z526:AB526"/>
    <mergeCell ref="AC526:AE526"/>
    <mergeCell ref="H527:J527"/>
    <mergeCell ref="K527:M527"/>
    <mergeCell ref="N527:P527"/>
    <mergeCell ref="Q527:S527"/>
    <mergeCell ref="T527:V527"/>
    <mergeCell ref="W527:Y527"/>
    <mergeCell ref="Z527:AB527"/>
    <mergeCell ref="AC527:AE527"/>
    <mergeCell ref="H526:J526"/>
    <mergeCell ref="K526:M526"/>
    <mergeCell ref="N526:P526"/>
    <mergeCell ref="Q526:S526"/>
    <mergeCell ref="T526:V526"/>
    <mergeCell ref="W526:Y526"/>
    <mergeCell ref="Z524:AB524"/>
    <mergeCell ref="AC524:AE524"/>
    <mergeCell ref="H525:J525"/>
    <mergeCell ref="K525:M525"/>
    <mergeCell ref="N525:P525"/>
    <mergeCell ref="Q525:S525"/>
    <mergeCell ref="T525:V525"/>
    <mergeCell ref="W525:Y525"/>
    <mergeCell ref="Z525:AB525"/>
    <mergeCell ref="AC525:AE525"/>
    <mergeCell ref="H524:J524"/>
    <mergeCell ref="K524:M524"/>
    <mergeCell ref="N524:P524"/>
    <mergeCell ref="Q524:S524"/>
    <mergeCell ref="T524:V524"/>
    <mergeCell ref="W524:Y524"/>
    <mergeCell ref="Z522:AB522"/>
    <mergeCell ref="AC522:AE522"/>
    <mergeCell ref="H523:J523"/>
    <mergeCell ref="K523:M523"/>
    <mergeCell ref="N523:P523"/>
    <mergeCell ref="Q523:S523"/>
    <mergeCell ref="T523:V523"/>
    <mergeCell ref="W523:Y523"/>
    <mergeCell ref="Z523:AB523"/>
    <mergeCell ref="AC523:AE523"/>
    <mergeCell ref="H522:J522"/>
    <mergeCell ref="K522:M522"/>
    <mergeCell ref="N522:P522"/>
    <mergeCell ref="Q522:S522"/>
    <mergeCell ref="T522:V522"/>
    <mergeCell ref="W522:Y522"/>
    <mergeCell ref="Z520:AB520"/>
    <mergeCell ref="AC520:AE520"/>
    <mergeCell ref="H521:J521"/>
    <mergeCell ref="K521:M521"/>
    <mergeCell ref="N521:P521"/>
    <mergeCell ref="Q521:S521"/>
    <mergeCell ref="T521:V521"/>
    <mergeCell ref="W521:Y521"/>
    <mergeCell ref="Z521:AB521"/>
    <mergeCell ref="AC521:AE521"/>
    <mergeCell ref="H520:J520"/>
    <mergeCell ref="K520:M520"/>
    <mergeCell ref="N520:P520"/>
    <mergeCell ref="Q520:S520"/>
    <mergeCell ref="T520:V520"/>
    <mergeCell ref="W520:Y520"/>
    <mergeCell ref="Z518:AB518"/>
    <mergeCell ref="AC518:AE518"/>
    <mergeCell ref="H519:J519"/>
    <mergeCell ref="K519:M519"/>
    <mergeCell ref="N519:P519"/>
    <mergeCell ref="Q519:S519"/>
    <mergeCell ref="T519:V519"/>
    <mergeCell ref="W519:Y519"/>
    <mergeCell ref="Z519:AB519"/>
    <mergeCell ref="AC519:AE519"/>
    <mergeCell ref="H518:J518"/>
    <mergeCell ref="K518:M518"/>
    <mergeCell ref="N518:P518"/>
    <mergeCell ref="Q518:S518"/>
    <mergeCell ref="T518:V518"/>
    <mergeCell ref="W518:Y518"/>
    <mergeCell ref="Z516:AB516"/>
    <mergeCell ref="AC516:AE516"/>
    <mergeCell ref="H517:J517"/>
    <mergeCell ref="K517:M517"/>
    <mergeCell ref="N517:P517"/>
    <mergeCell ref="Q517:S517"/>
    <mergeCell ref="T517:V517"/>
    <mergeCell ref="W517:Y517"/>
    <mergeCell ref="Z517:AB517"/>
    <mergeCell ref="AC517:AE517"/>
    <mergeCell ref="H516:J516"/>
    <mergeCell ref="K516:M516"/>
    <mergeCell ref="N516:P516"/>
    <mergeCell ref="Q516:S516"/>
    <mergeCell ref="T516:V516"/>
    <mergeCell ref="W516:Y516"/>
    <mergeCell ref="Z514:AB514"/>
    <mergeCell ref="AC514:AE514"/>
    <mergeCell ref="H515:J515"/>
    <mergeCell ref="K515:M515"/>
    <mergeCell ref="N515:P515"/>
    <mergeCell ref="Q515:S515"/>
    <mergeCell ref="T515:V515"/>
    <mergeCell ref="W515:Y515"/>
    <mergeCell ref="Z515:AB515"/>
    <mergeCell ref="AC515:AE515"/>
    <mergeCell ref="H514:J514"/>
    <mergeCell ref="K514:M514"/>
    <mergeCell ref="N514:P514"/>
    <mergeCell ref="Q514:S514"/>
    <mergeCell ref="T514:V514"/>
    <mergeCell ref="W514:Y514"/>
    <mergeCell ref="Z512:AB512"/>
    <mergeCell ref="AC512:AE512"/>
    <mergeCell ref="H513:J513"/>
    <mergeCell ref="K513:M513"/>
    <mergeCell ref="N513:P513"/>
    <mergeCell ref="Q513:S513"/>
    <mergeCell ref="T513:V513"/>
    <mergeCell ref="W513:Y513"/>
    <mergeCell ref="Z513:AB513"/>
    <mergeCell ref="AC513:AE513"/>
    <mergeCell ref="H512:J512"/>
    <mergeCell ref="K512:M512"/>
    <mergeCell ref="N512:P512"/>
    <mergeCell ref="Q512:S512"/>
    <mergeCell ref="T512:V512"/>
    <mergeCell ref="W512:Y512"/>
    <mergeCell ref="Z510:AB510"/>
    <mergeCell ref="AC510:AE510"/>
    <mergeCell ref="H511:J511"/>
    <mergeCell ref="K511:M511"/>
    <mergeCell ref="N511:P511"/>
    <mergeCell ref="Q511:S511"/>
    <mergeCell ref="T511:V511"/>
    <mergeCell ref="W511:Y511"/>
    <mergeCell ref="Z511:AB511"/>
    <mergeCell ref="AC511:AE511"/>
    <mergeCell ref="H510:J510"/>
    <mergeCell ref="K510:M510"/>
    <mergeCell ref="N510:P510"/>
    <mergeCell ref="Q510:S510"/>
    <mergeCell ref="T510:V510"/>
    <mergeCell ref="W510:Y510"/>
    <mergeCell ref="Z508:AB508"/>
    <mergeCell ref="AC508:AE508"/>
    <mergeCell ref="H509:J509"/>
    <mergeCell ref="K509:M509"/>
    <mergeCell ref="N509:P509"/>
    <mergeCell ref="Q509:S509"/>
    <mergeCell ref="T509:V509"/>
    <mergeCell ref="W509:Y509"/>
    <mergeCell ref="Z509:AB509"/>
    <mergeCell ref="AC509:AE509"/>
    <mergeCell ref="H508:J508"/>
    <mergeCell ref="K508:M508"/>
    <mergeCell ref="N508:P508"/>
    <mergeCell ref="Q508:S508"/>
    <mergeCell ref="T508:V508"/>
    <mergeCell ref="W508:Y508"/>
    <mergeCell ref="Z506:AB506"/>
    <mergeCell ref="AC506:AE506"/>
    <mergeCell ref="H507:J507"/>
    <mergeCell ref="K507:M507"/>
    <mergeCell ref="N507:P507"/>
    <mergeCell ref="Q507:S507"/>
    <mergeCell ref="T507:V507"/>
    <mergeCell ref="W507:Y507"/>
    <mergeCell ref="Z507:AB507"/>
    <mergeCell ref="AC507:AE507"/>
    <mergeCell ref="H506:J506"/>
    <mergeCell ref="K506:M506"/>
    <mergeCell ref="N506:P506"/>
    <mergeCell ref="Q506:S506"/>
    <mergeCell ref="T506:V506"/>
    <mergeCell ref="W506:Y506"/>
    <mergeCell ref="Z504:AB504"/>
    <mergeCell ref="AC504:AE504"/>
    <mergeCell ref="H505:J505"/>
    <mergeCell ref="K505:M505"/>
    <mergeCell ref="N505:P505"/>
    <mergeCell ref="Q505:S505"/>
    <mergeCell ref="T505:V505"/>
    <mergeCell ref="W505:Y505"/>
    <mergeCell ref="Z505:AB505"/>
    <mergeCell ref="AC505:AE505"/>
    <mergeCell ref="H504:J504"/>
    <mergeCell ref="K504:M504"/>
    <mergeCell ref="N504:P504"/>
    <mergeCell ref="Q504:S504"/>
    <mergeCell ref="T504:V504"/>
    <mergeCell ref="W504:Y504"/>
    <mergeCell ref="Z502:AB502"/>
    <mergeCell ref="AC502:AE502"/>
    <mergeCell ref="H503:J503"/>
    <mergeCell ref="K503:M503"/>
    <mergeCell ref="N503:P503"/>
    <mergeCell ref="Q503:S503"/>
    <mergeCell ref="T503:V503"/>
    <mergeCell ref="W503:Y503"/>
    <mergeCell ref="Z503:AB503"/>
    <mergeCell ref="AC503:AE503"/>
    <mergeCell ref="H502:J502"/>
    <mergeCell ref="K502:M502"/>
    <mergeCell ref="N502:P502"/>
    <mergeCell ref="Q502:S502"/>
    <mergeCell ref="T502:V502"/>
    <mergeCell ref="W502:Y502"/>
    <mergeCell ref="Z500:AB500"/>
    <mergeCell ref="AC500:AE500"/>
    <mergeCell ref="H501:J501"/>
    <mergeCell ref="K501:M501"/>
    <mergeCell ref="N501:P501"/>
    <mergeCell ref="Q501:S501"/>
    <mergeCell ref="T501:V501"/>
    <mergeCell ref="W501:Y501"/>
    <mergeCell ref="Z501:AB501"/>
    <mergeCell ref="AC501:AE501"/>
    <mergeCell ref="H500:J500"/>
    <mergeCell ref="K500:M500"/>
    <mergeCell ref="N500:P500"/>
    <mergeCell ref="Q500:S500"/>
    <mergeCell ref="T500:V500"/>
    <mergeCell ref="W500:Y500"/>
    <mergeCell ref="Z498:AB498"/>
    <mergeCell ref="AC498:AE498"/>
    <mergeCell ref="H499:J499"/>
    <mergeCell ref="K499:M499"/>
    <mergeCell ref="N499:P499"/>
    <mergeCell ref="Q499:S499"/>
    <mergeCell ref="T499:V499"/>
    <mergeCell ref="W499:Y499"/>
    <mergeCell ref="Z499:AB499"/>
    <mergeCell ref="AC499:AE499"/>
    <mergeCell ref="H498:J498"/>
    <mergeCell ref="K498:M498"/>
    <mergeCell ref="N498:P498"/>
    <mergeCell ref="Q498:S498"/>
    <mergeCell ref="T498:V498"/>
    <mergeCell ref="W498:Y498"/>
    <mergeCell ref="Z496:AB496"/>
    <mergeCell ref="AC496:AE496"/>
    <mergeCell ref="H497:J497"/>
    <mergeCell ref="K497:M497"/>
    <mergeCell ref="N497:P497"/>
    <mergeCell ref="Q497:S497"/>
    <mergeCell ref="T497:V497"/>
    <mergeCell ref="W497:Y497"/>
    <mergeCell ref="Z497:AB497"/>
    <mergeCell ref="AC497:AE497"/>
    <mergeCell ref="H496:J496"/>
    <mergeCell ref="K496:M496"/>
    <mergeCell ref="N496:P496"/>
    <mergeCell ref="Q496:S496"/>
    <mergeCell ref="T496:V496"/>
    <mergeCell ref="W496:Y496"/>
    <mergeCell ref="Z494:AB494"/>
    <mergeCell ref="AC494:AE494"/>
    <mergeCell ref="H495:J495"/>
    <mergeCell ref="K495:M495"/>
    <mergeCell ref="N495:P495"/>
    <mergeCell ref="Q495:S495"/>
    <mergeCell ref="T495:V495"/>
    <mergeCell ref="W495:Y495"/>
    <mergeCell ref="Z495:AB495"/>
    <mergeCell ref="AC495:AE495"/>
    <mergeCell ref="H494:J494"/>
    <mergeCell ref="K494:M494"/>
    <mergeCell ref="N494:P494"/>
    <mergeCell ref="Q494:S494"/>
    <mergeCell ref="T494:V494"/>
    <mergeCell ref="W494:Y494"/>
    <mergeCell ref="Z492:AB492"/>
    <mergeCell ref="AC492:AE492"/>
    <mergeCell ref="H493:J493"/>
    <mergeCell ref="K493:M493"/>
    <mergeCell ref="N493:P493"/>
    <mergeCell ref="Q493:S493"/>
    <mergeCell ref="T493:V493"/>
    <mergeCell ref="W493:Y493"/>
    <mergeCell ref="Z493:AB493"/>
    <mergeCell ref="AC493:AE493"/>
    <mergeCell ref="H492:J492"/>
    <mergeCell ref="K492:M492"/>
    <mergeCell ref="N492:P492"/>
    <mergeCell ref="Q492:S492"/>
    <mergeCell ref="T492:V492"/>
    <mergeCell ref="W492:Y492"/>
    <mergeCell ref="Z490:AB490"/>
    <mergeCell ref="AC490:AE490"/>
    <mergeCell ref="H491:J491"/>
    <mergeCell ref="K491:M491"/>
    <mergeCell ref="N491:P491"/>
    <mergeCell ref="Q491:S491"/>
    <mergeCell ref="T491:V491"/>
    <mergeCell ref="W491:Y491"/>
    <mergeCell ref="Z491:AB491"/>
    <mergeCell ref="AC491:AE491"/>
    <mergeCell ref="H490:J490"/>
    <mergeCell ref="K490:M490"/>
    <mergeCell ref="N490:P490"/>
    <mergeCell ref="Q490:S490"/>
    <mergeCell ref="T490:V490"/>
    <mergeCell ref="W490:Y490"/>
    <mergeCell ref="Z488:AB488"/>
    <mergeCell ref="AC488:AE488"/>
    <mergeCell ref="H489:J489"/>
    <mergeCell ref="K489:M489"/>
    <mergeCell ref="N489:P489"/>
    <mergeCell ref="Q489:S489"/>
    <mergeCell ref="T489:V489"/>
    <mergeCell ref="W489:Y489"/>
    <mergeCell ref="Z489:AB489"/>
    <mergeCell ref="AC489:AE489"/>
    <mergeCell ref="H488:J488"/>
    <mergeCell ref="K488:M488"/>
    <mergeCell ref="N488:P488"/>
    <mergeCell ref="Q488:S488"/>
    <mergeCell ref="T488:V488"/>
    <mergeCell ref="W488:Y488"/>
    <mergeCell ref="Z486:AB486"/>
    <mergeCell ref="AC486:AE486"/>
    <mergeCell ref="H487:J487"/>
    <mergeCell ref="K487:M487"/>
    <mergeCell ref="N487:P487"/>
    <mergeCell ref="Q487:S487"/>
    <mergeCell ref="T487:V487"/>
    <mergeCell ref="W487:Y487"/>
    <mergeCell ref="Z487:AB487"/>
    <mergeCell ref="AC487:AE487"/>
    <mergeCell ref="H486:J486"/>
    <mergeCell ref="K486:M486"/>
    <mergeCell ref="N486:P486"/>
    <mergeCell ref="Q486:S486"/>
    <mergeCell ref="T486:V486"/>
    <mergeCell ref="W486:Y486"/>
    <mergeCell ref="Z484:AB484"/>
    <mergeCell ref="AC484:AE484"/>
    <mergeCell ref="H485:J485"/>
    <mergeCell ref="K485:M485"/>
    <mergeCell ref="N485:P485"/>
    <mergeCell ref="Q485:S485"/>
    <mergeCell ref="T485:V485"/>
    <mergeCell ref="W485:Y485"/>
    <mergeCell ref="Z485:AB485"/>
    <mergeCell ref="AC485:AE485"/>
    <mergeCell ref="H484:J484"/>
    <mergeCell ref="K484:M484"/>
    <mergeCell ref="N484:P484"/>
    <mergeCell ref="Q484:S484"/>
    <mergeCell ref="T484:V484"/>
    <mergeCell ref="W484:Y484"/>
    <mergeCell ref="Z482:AB482"/>
    <mergeCell ref="AC482:AE482"/>
    <mergeCell ref="H483:J483"/>
    <mergeCell ref="K483:M483"/>
    <mergeCell ref="N483:P483"/>
    <mergeCell ref="Q483:S483"/>
    <mergeCell ref="T483:V483"/>
    <mergeCell ref="W483:Y483"/>
    <mergeCell ref="Z483:AB483"/>
    <mergeCell ref="AC483:AE483"/>
    <mergeCell ref="H482:J482"/>
    <mergeCell ref="K482:M482"/>
    <mergeCell ref="N482:P482"/>
    <mergeCell ref="Q482:S482"/>
    <mergeCell ref="T482:V482"/>
    <mergeCell ref="W482:Y482"/>
    <mergeCell ref="Z480:AB480"/>
    <mergeCell ref="AC480:AE480"/>
    <mergeCell ref="H481:J481"/>
    <mergeCell ref="K481:M481"/>
    <mergeCell ref="N481:P481"/>
    <mergeCell ref="Q481:S481"/>
    <mergeCell ref="T481:V481"/>
    <mergeCell ref="W481:Y481"/>
    <mergeCell ref="Z481:AB481"/>
    <mergeCell ref="AC481:AE481"/>
    <mergeCell ref="H480:J480"/>
    <mergeCell ref="K480:M480"/>
    <mergeCell ref="N480:P480"/>
    <mergeCell ref="Q480:S480"/>
    <mergeCell ref="T480:V480"/>
    <mergeCell ref="W480:Y480"/>
    <mergeCell ref="Z478:AB478"/>
    <mergeCell ref="AC478:AE478"/>
    <mergeCell ref="H479:J479"/>
    <mergeCell ref="K479:M479"/>
    <mergeCell ref="N479:P479"/>
    <mergeCell ref="Q479:S479"/>
    <mergeCell ref="T479:V479"/>
    <mergeCell ref="W479:Y479"/>
    <mergeCell ref="Z479:AB479"/>
    <mergeCell ref="AC479:AE479"/>
    <mergeCell ref="H478:J478"/>
    <mergeCell ref="K478:M478"/>
    <mergeCell ref="N478:P478"/>
    <mergeCell ref="Q478:S478"/>
    <mergeCell ref="T478:V478"/>
    <mergeCell ref="W478:Y478"/>
    <mergeCell ref="AC476:AE476"/>
    <mergeCell ref="H477:J477"/>
    <mergeCell ref="K477:M477"/>
    <mergeCell ref="N477:P477"/>
    <mergeCell ref="Q477:S477"/>
    <mergeCell ref="T477:V477"/>
    <mergeCell ref="W477:Y477"/>
    <mergeCell ref="Z477:AB477"/>
    <mergeCell ref="AC477:AE477"/>
    <mergeCell ref="Z467:AB467"/>
    <mergeCell ref="AC467:AE467"/>
    <mergeCell ref="C476:D476"/>
    <mergeCell ref="H476:J476"/>
    <mergeCell ref="K476:M476"/>
    <mergeCell ref="N476:P476"/>
    <mergeCell ref="Q476:S476"/>
    <mergeCell ref="T476:V476"/>
    <mergeCell ref="W476:Y476"/>
    <mergeCell ref="Z476:AB476"/>
    <mergeCell ref="H467:J467"/>
    <mergeCell ref="K467:M467"/>
    <mergeCell ref="N467:P467"/>
    <mergeCell ref="Q467:S467"/>
    <mergeCell ref="T467:V467"/>
    <mergeCell ref="W467:Y467"/>
    <mergeCell ref="Z465:AB465"/>
    <mergeCell ref="AC465:AE465"/>
    <mergeCell ref="H466:J466"/>
    <mergeCell ref="K466:M466"/>
    <mergeCell ref="N466:P466"/>
    <mergeCell ref="Q466:S466"/>
    <mergeCell ref="T466:V466"/>
    <mergeCell ref="W466:Y466"/>
    <mergeCell ref="Z466:AB466"/>
    <mergeCell ref="AC466:AE466"/>
    <mergeCell ref="H465:J465"/>
    <mergeCell ref="K465:M465"/>
    <mergeCell ref="N465:P465"/>
    <mergeCell ref="Q465:S465"/>
    <mergeCell ref="T465:V465"/>
    <mergeCell ref="W465:Y465"/>
    <mergeCell ref="Z463:AB463"/>
    <mergeCell ref="AC463:AE463"/>
    <mergeCell ref="H464:J464"/>
    <mergeCell ref="K464:M464"/>
    <mergeCell ref="N464:P464"/>
    <mergeCell ref="Q464:S464"/>
    <mergeCell ref="T464:V464"/>
    <mergeCell ref="W464:Y464"/>
    <mergeCell ref="Z464:AB464"/>
    <mergeCell ref="AC464:AE464"/>
    <mergeCell ref="H463:J463"/>
    <mergeCell ref="K463:M463"/>
    <mergeCell ref="N463:P463"/>
    <mergeCell ref="Q463:S463"/>
    <mergeCell ref="T463:V463"/>
    <mergeCell ref="W463:Y463"/>
    <mergeCell ref="Z461:AB461"/>
    <mergeCell ref="AC461:AE461"/>
    <mergeCell ref="H462:J462"/>
    <mergeCell ref="K462:M462"/>
    <mergeCell ref="N462:P462"/>
    <mergeCell ref="Q462:S462"/>
    <mergeCell ref="T462:V462"/>
    <mergeCell ref="W462:Y462"/>
    <mergeCell ref="Z462:AB462"/>
    <mergeCell ref="AC462:AE462"/>
    <mergeCell ref="H461:J461"/>
    <mergeCell ref="K461:M461"/>
    <mergeCell ref="N461:P461"/>
    <mergeCell ref="Q461:S461"/>
    <mergeCell ref="T461:V461"/>
    <mergeCell ref="W461:Y461"/>
    <mergeCell ref="Z459:AB459"/>
    <mergeCell ref="AC459:AE459"/>
    <mergeCell ref="H460:J460"/>
    <mergeCell ref="K460:M460"/>
    <mergeCell ref="N460:P460"/>
    <mergeCell ref="Q460:S460"/>
    <mergeCell ref="T460:V460"/>
    <mergeCell ref="W460:Y460"/>
    <mergeCell ref="Z460:AB460"/>
    <mergeCell ref="AC460:AE460"/>
    <mergeCell ref="H459:J459"/>
    <mergeCell ref="K459:M459"/>
    <mergeCell ref="N459:P459"/>
    <mergeCell ref="Q459:S459"/>
    <mergeCell ref="T459:V459"/>
    <mergeCell ref="W459:Y459"/>
    <mergeCell ref="Z457:AB457"/>
    <mergeCell ref="AC457:AE457"/>
    <mergeCell ref="H458:J458"/>
    <mergeCell ref="K458:M458"/>
    <mergeCell ref="N458:P458"/>
    <mergeCell ref="Q458:S458"/>
    <mergeCell ref="T458:V458"/>
    <mergeCell ref="W458:Y458"/>
    <mergeCell ref="Z458:AB458"/>
    <mergeCell ref="AC458:AE458"/>
    <mergeCell ref="H457:J457"/>
    <mergeCell ref="K457:M457"/>
    <mergeCell ref="N457:P457"/>
    <mergeCell ref="Q457:S457"/>
    <mergeCell ref="T457:V457"/>
    <mergeCell ref="W457:Y457"/>
    <mergeCell ref="Z455:AB455"/>
    <mergeCell ref="AC455:AE455"/>
    <mergeCell ref="H456:J456"/>
    <mergeCell ref="K456:M456"/>
    <mergeCell ref="N456:P456"/>
    <mergeCell ref="Q456:S456"/>
    <mergeCell ref="T456:V456"/>
    <mergeCell ref="W456:Y456"/>
    <mergeCell ref="Z456:AB456"/>
    <mergeCell ref="AC456:AE456"/>
    <mergeCell ref="H455:J455"/>
    <mergeCell ref="K455:M455"/>
    <mergeCell ref="N455:P455"/>
    <mergeCell ref="Q455:S455"/>
    <mergeCell ref="T455:V455"/>
    <mergeCell ref="W455:Y455"/>
    <mergeCell ref="Z453:AB453"/>
    <mergeCell ref="AC453:AE453"/>
    <mergeCell ref="H454:J454"/>
    <mergeCell ref="K454:M454"/>
    <mergeCell ref="N454:P454"/>
    <mergeCell ref="Q454:S454"/>
    <mergeCell ref="T454:V454"/>
    <mergeCell ref="W454:Y454"/>
    <mergeCell ref="Z454:AB454"/>
    <mergeCell ref="AC454:AE454"/>
    <mergeCell ref="H453:J453"/>
    <mergeCell ref="K453:M453"/>
    <mergeCell ref="N453:P453"/>
    <mergeCell ref="Q453:S453"/>
    <mergeCell ref="T453:V453"/>
    <mergeCell ref="W453:Y453"/>
    <mergeCell ref="Z451:AB451"/>
    <mergeCell ref="AC451:AE451"/>
    <mergeCell ref="H452:J452"/>
    <mergeCell ref="K452:M452"/>
    <mergeCell ref="N452:P452"/>
    <mergeCell ref="Q452:S452"/>
    <mergeCell ref="T452:V452"/>
    <mergeCell ref="W452:Y452"/>
    <mergeCell ref="Z452:AB452"/>
    <mergeCell ref="AC452:AE452"/>
    <mergeCell ref="H451:J451"/>
    <mergeCell ref="K451:M451"/>
    <mergeCell ref="N451:P451"/>
    <mergeCell ref="Q451:S451"/>
    <mergeCell ref="T451:V451"/>
    <mergeCell ref="W451:Y451"/>
    <mergeCell ref="Z449:AB449"/>
    <mergeCell ref="AC449:AE449"/>
    <mergeCell ref="H450:J450"/>
    <mergeCell ref="K450:M450"/>
    <mergeCell ref="N450:P450"/>
    <mergeCell ref="Q450:S450"/>
    <mergeCell ref="T450:V450"/>
    <mergeCell ref="W450:Y450"/>
    <mergeCell ref="Z450:AB450"/>
    <mergeCell ref="AC450:AE450"/>
    <mergeCell ref="H449:J449"/>
    <mergeCell ref="K449:M449"/>
    <mergeCell ref="N449:P449"/>
    <mergeCell ref="Q449:S449"/>
    <mergeCell ref="T449:V449"/>
    <mergeCell ref="W449:Y449"/>
    <mergeCell ref="Z447:AB447"/>
    <mergeCell ref="AC447:AE447"/>
    <mergeCell ref="H448:J448"/>
    <mergeCell ref="K448:M448"/>
    <mergeCell ref="N448:P448"/>
    <mergeCell ref="Q448:S448"/>
    <mergeCell ref="T448:V448"/>
    <mergeCell ref="W448:Y448"/>
    <mergeCell ref="Z448:AB448"/>
    <mergeCell ref="AC448:AE448"/>
    <mergeCell ref="H447:J447"/>
    <mergeCell ref="K447:M447"/>
    <mergeCell ref="N447:P447"/>
    <mergeCell ref="Q447:S447"/>
    <mergeCell ref="T447:V447"/>
    <mergeCell ref="W447:Y447"/>
    <mergeCell ref="Z445:AB445"/>
    <mergeCell ref="AC445:AE445"/>
    <mergeCell ref="H446:J446"/>
    <mergeCell ref="K446:M446"/>
    <mergeCell ref="N446:P446"/>
    <mergeCell ref="Q446:S446"/>
    <mergeCell ref="T446:V446"/>
    <mergeCell ref="W446:Y446"/>
    <mergeCell ref="Z446:AB446"/>
    <mergeCell ref="AC446:AE446"/>
    <mergeCell ref="H445:J445"/>
    <mergeCell ref="K445:M445"/>
    <mergeCell ref="N445:P445"/>
    <mergeCell ref="Q445:S445"/>
    <mergeCell ref="T445:V445"/>
    <mergeCell ref="W445:Y445"/>
    <mergeCell ref="Z443:AB443"/>
    <mergeCell ref="AC443:AE443"/>
    <mergeCell ref="H444:J444"/>
    <mergeCell ref="K444:M444"/>
    <mergeCell ref="N444:P444"/>
    <mergeCell ref="Q444:S444"/>
    <mergeCell ref="T444:V444"/>
    <mergeCell ref="W444:Y444"/>
    <mergeCell ref="Z444:AB444"/>
    <mergeCell ref="AC444:AE444"/>
    <mergeCell ref="H443:J443"/>
    <mergeCell ref="K443:M443"/>
    <mergeCell ref="N443:P443"/>
    <mergeCell ref="Q443:S443"/>
    <mergeCell ref="T443:V443"/>
    <mergeCell ref="W443:Y443"/>
    <mergeCell ref="Z441:AB441"/>
    <mergeCell ref="AC441:AE441"/>
    <mergeCell ref="H442:J442"/>
    <mergeCell ref="K442:M442"/>
    <mergeCell ref="N442:P442"/>
    <mergeCell ref="Q442:S442"/>
    <mergeCell ref="T442:V442"/>
    <mergeCell ref="W442:Y442"/>
    <mergeCell ref="Z442:AB442"/>
    <mergeCell ref="AC442:AE442"/>
    <mergeCell ref="H441:J441"/>
    <mergeCell ref="K441:M441"/>
    <mergeCell ref="N441:P441"/>
    <mergeCell ref="Q441:S441"/>
    <mergeCell ref="T441:V441"/>
    <mergeCell ref="W441:Y441"/>
    <mergeCell ref="Z439:AB439"/>
    <mergeCell ref="AC439:AE439"/>
    <mergeCell ref="H440:J440"/>
    <mergeCell ref="K440:M440"/>
    <mergeCell ref="N440:P440"/>
    <mergeCell ref="Q440:S440"/>
    <mergeCell ref="T440:V440"/>
    <mergeCell ref="W440:Y440"/>
    <mergeCell ref="Z440:AB440"/>
    <mergeCell ref="AC440:AE440"/>
    <mergeCell ref="H439:J439"/>
    <mergeCell ref="K439:M439"/>
    <mergeCell ref="N439:P439"/>
    <mergeCell ref="Q439:S439"/>
    <mergeCell ref="T439:V439"/>
    <mergeCell ref="W439:Y439"/>
    <mergeCell ref="Z437:AB437"/>
    <mergeCell ref="AC437:AE437"/>
    <mergeCell ref="H438:J438"/>
    <mergeCell ref="K438:M438"/>
    <mergeCell ref="N438:P438"/>
    <mergeCell ref="Q438:S438"/>
    <mergeCell ref="T438:V438"/>
    <mergeCell ref="W438:Y438"/>
    <mergeCell ref="Z438:AB438"/>
    <mergeCell ref="AC438:AE438"/>
    <mergeCell ref="H437:J437"/>
    <mergeCell ref="K437:M437"/>
    <mergeCell ref="N437:P437"/>
    <mergeCell ref="Q437:S437"/>
    <mergeCell ref="T437:V437"/>
    <mergeCell ref="W437:Y437"/>
    <mergeCell ref="Z435:AB435"/>
    <mergeCell ref="AC435:AE435"/>
    <mergeCell ref="H436:J436"/>
    <mergeCell ref="K436:M436"/>
    <mergeCell ref="N436:P436"/>
    <mergeCell ref="Q436:S436"/>
    <mergeCell ref="T436:V436"/>
    <mergeCell ref="W436:Y436"/>
    <mergeCell ref="Z436:AB436"/>
    <mergeCell ref="AC436:AE436"/>
    <mergeCell ref="H435:J435"/>
    <mergeCell ref="K435:M435"/>
    <mergeCell ref="N435:P435"/>
    <mergeCell ref="Q435:S435"/>
    <mergeCell ref="T435:V435"/>
    <mergeCell ref="W435:Y435"/>
    <mergeCell ref="Z433:AB433"/>
    <mergeCell ref="AC433:AE433"/>
    <mergeCell ref="H434:J434"/>
    <mergeCell ref="K434:M434"/>
    <mergeCell ref="N434:P434"/>
    <mergeCell ref="Q434:S434"/>
    <mergeCell ref="T434:V434"/>
    <mergeCell ref="W434:Y434"/>
    <mergeCell ref="Z434:AB434"/>
    <mergeCell ref="AC434:AE434"/>
    <mergeCell ref="H433:J433"/>
    <mergeCell ref="K433:M433"/>
    <mergeCell ref="N433:P433"/>
    <mergeCell ref="Q433:S433"/>
    <mergeCell ref="T433:V433"/>
    <mergeCell ref="W433:Y433"/>
    <mergeCell ref="Z431:AB431"/>
    <mergeCell ref="AC431:AE431"/>
    <mergeCell ref="H432:J432"/>
    <mergeCell ref="K432:M432"/>
    <mergeCell ref="N432:P432"/>
    <mergeCell ref="Q432:S432"/>
    <mergeCell ref="T432:V432"/>
    <mergeCell ref="W432:Y432"/>
    <mergeCell ref="Z432:AB432"/>
    <mergeCell ref="AC432:AE432"/>
    <mergeCell ref="H431:J431"/>
    <mergeCell ref="K431:M431"/>
    <mergeCell ref="N431:P431"/>
    <mergeCell ref="Q431:S431"/>
    <mergeCell ref="T431:V431"/>
    <mergeCell ref="W431:Y431"/>
    <mergeCell ref="Z429:AB429"/>
    <mergeCell ref="AC429:AE429"/>
    <mergeCell ref="H430:J430"/>
    <mergeCell ref="K430:M430"/>
    <mergeCell ref="N430:P430"/>
    <mergeCell ref="Q430:S430"/>
    <mergeCell ref="T430:V430"/>
    <mergeCell ref="W430:Y430"/>
    <mergeCell ref="Z430:AB430"/>
    <mergeCell ref="AC430:AE430"/>
    <mergeCell ref="H429:J429"/>
    <mergeCell ref="K429:M429"/>
    <mergeCell ref="N429:P429"/>
    <mergeCell ref="Q429:S429"/>
    <mergeCell ref="T429:V429"/>
    <mergeCell ref="W429:Y429"/>
    <mergeCell ref="Z427:AB427"/>
    <mergeCell ref="AC427:AE427"/>
    <mergeCell ref="H428:J428"/>
    <mergeCell ref="K428:M428"/>
    <mergeCell ref="N428:P428"/>
    <mergeCell ref="Q428:S428"/>
    <mergeCell ref="T428:V428"/>
    <mergeCell ref="W428:Y428"/>
    <mergeCell ref="Z428:AB428"/>
    <mergeCell ref="AC428:AE428"/>
    <mergeCell ref="H427:J427"/>
    <mergeCell ref="K427:M427"/>
    <mergeCell ref="N427:P427"/>
    <mergeCell ref="Q427:S427"/>
    <mergeCell ref="T427:V427"/>
    <mergeCell ref="W427:Y427"/>
    <mergeCell ref="Z425:AB425"/>
    <mergeCell ref="AC425:AE425"/>
    <mergeCell ref="H426:J426"/>
    <mergeCell ref="K426:M426"/>
    <mergeCell ref="N426:P426"/>
    <mergeCell ref="Q426:S426"/>
    <mergeCell ref="T426:V426"/>
    <mergeCell ref="W426:Y426"/>
    <mergeCell ref="Z426:AB426"/>
    <mergeCell ref="AC426:AE426"/>
    <mergeCell ref="H425:J425"/>
    <mergeCell ref="K425:M425"/>
    <mergeCell ref="N425:P425"/>
    <mergeCell ref="Q425:S425"/>
    <mergeCell ref="T425:V425"/>
    <mergeCell ref="W425:Y425"/>
    <mergeCell ref="Z423:AB423"/>
    <mergeCell ref="AC423:AE423"/>
    <mergeCell ref="H424:J424"/>
    <mergeCell ref="K424:M424"/>
    <mergeCell ref="N424:P424"/>
    <mergeCell ref="Q424:S424"/>
    <mergeCell ref="T424:V424"/>
    <mergeCell ref="W424:Y424"/>
    <mergeCell ref="Z424:AB424"/>
    <mergeCell ref="AC424:AE424"/>
    <mergeCell ref="H423:J423"/>
    <mergeCell ref="K423:M423"/>
    <mergeCell ref="N423:P423"/>
    <mergeCell ref="Q423:S423"/>
    <mergeCell ref="T423:V423"/>
    <mergeCell ref="W423:Y423"/>
    <mergeCell ref="Z421:AB421"/>
    <mergeCell ref="AC421:AE421"/>
    <mergeCell ref="H422:J422"/>
    <mergeCell ref="K422:M422"/>
    <mergeCell ref="N422:P422"/>
    <mergeCell ref="Q422:S422"/>
    <mergeCell ref="T422:V422"/>
    <mergeCell ref="W422:Y422"/>
    <mergeCell ref="Z422:AB422"/>
    <mergeCell ref="AC422:AE422"/>
    <mergeCell ref="H421:J421"/>
    <mergeCell ref="K421:M421"/>
    <mergeCell ref="N421:P421"/>
    <mergeCell ref="Q421:S421"/>
    <mergeCell ref="T421:V421"/>
    <mergeCell ref="W421:Y421"/>
    <mergeCell ref="Z419:AB419"/>
    <mergeCell ref="AC419:AE419"/>
    <mergeCell ref="H420:J420"/>
    <mergeCell ref="K420:M420"/>
    <mergeCell ref="N420:P420"/>
    <mergeCell ref="Q420:S420"/>
    <mergeCell ref="T420:V420"/>
    <mergeCell ref="W420:Y420"/>
    <mergeCell ref="Z420:AB420"/>
    <mergeCell ref="AC420:AE420"/>
    <mergeCell ref="H419:J419"/>
    <mergeCell ref="K419:M419"/>
    <mergeCell ref="N419:P419"/>
    <mergeCell ref="Q419:S419"/>
    <mergeCell ref="T419:V419"/>
    <mergeCell ref="W419:Y419"/>
    <mergeCell ref="Z417:AB417"/>
    <mergeCell ref="AC417:AE417"/>
    <mergeCell ref="H418:J418"/>
    <mergeCell ref="K418:M418"/>
    <mergeCell ref="N418:P418"/>
    <mergeCell ref="Q418:S418"/>
    <mergeCell ref="T418:V418"/>
    <mergeCell ref="W418:Y418"/>
    <mergeCell ref="Z418:AB418"/>
    <mergeCell ref="AC418:AE418"/>
    <mergeCell ref="H417:J417"/>
    <mergeCell ref="K417:M417"/>
    <mergeCell ref="N417:P417"/>
    <mergeCell ref="Q417:S417"/>
    <mergeCell ref="T417:V417"/>
    <mergeCell ref="W417:Y417"/>
    <mergeCell ref="Z415:AB415"/>
    <mergeCell ref="AC415:AE415"/>
    <mergeCell ref="H416:J416"/>
    <mergeCell ref="K416:M416"/>
    <mergeCell ref="N416:P416"/>
    <mergeCell ref="Q416:S416"/>
    <mergeCell ref="T416:V416"/>
    <mergeCell ref="W416:Y416"/>
    <mergeCell ref="Z416:AB416"/>
    <mergeCell ref="AC416:AE416"/>
    <mergeCell ref="H415:J415"/>
    <mergeCell ref="K415:M415"/>
    <mergeCell ref="N415:P415"/>
    <mergeCell ref="Q415:S415"/>
    <mergeCell ref="T415:V415"/>
    <mergeCell ref="W415:Y415"/>
    <mergeCell ref="AA413:AB413"/>
    <mergeCell ref="AD413:AE413"/>
    <mergeCell ref="I414:J414"/>
    <mergeCell ref="L414:M414"/>
    <mergeCell ref="O414:P414"/>
    <mergeCell ref="R414:S414"/>
    <mergeCell ref="U414:V414"/>
    <mergeCell ref="X414:Y414"/>
    <mergeCell ref="AA414:AB414"/>
    <mergeCell ref="AD414:AE414"/>
    <mergeCell ref="I413:J413"/>
    <mergeCell ref="L413:M413"/>
    <mergeCell ref="O413:P413"/>
    <mergeCell ref="R413:S413"/>
    <mergeCell ref="U413:V413"/>
    <mergeCell ref="X413:Y413"/>
    <mergeCell ref="AA411:AB411"/>
    <mergeCell ref="AD411:AE411"/>
    <mergeCell ref="I412:J412"/>
    <mergeCell ref="L412:M412"/>
    <mergeCell ref="O412:P412"/>
    <mergeCell ref="R412:S412"/>
    <mergeCell ref="U412:V412"/>
    <mergeCell ref="X412:Y412"/>
    <mergeCell ref="AA412:AB412"/>
    <mergeCell ref="AD412:AE412"/>
    <mergeCell ref="I411:J411"/>
    <mergeCell ref="L411:M411"/>
    <mergeCell ref="O411:P411"/>
    <mergeCell ref="R411:S411"/>
    <mergeCell ref="U411:V411"/>
    <mergeCell ref="X411:Y411"/>
    <mergeCell ref="AA409:AB409"/>
    <mergeCell ref="AD409:AE409"/>
    <mergeCell ref="I410:J410"/>
    <mergeCell ref="L410:M410"/>
    <mergeCell ref="O410:P410"/>
    <mergeCell ref="R410:S410"/>
    <mergeCell ref="U410:V410"/>
    <mergeCell ref="X410:Y410"/>
    <mergeCell ref="AA410:AB410"/>
    <mergeCell ref="AD410:AE410"/>
    <mergeCell ref="I409:J409"/>
    <mergeCell ref="L409:M409"/>
    <mergeCell ref="O409:P409"/>
    <mergeCell ref="R409:S409"/>
    <mergeCell ref="U409:V409"/>
    <mergeCell ref="X409:Y409"/>
    <mergeCell ref="AA407:AB407"/>
    <mergeCell ref="AD407:AE407"/>
    <mergeCell ref="I408:J408"/>
    <mergeCell ref="L408:M408"/>
    <mergeCell ref="O408:P408"/>
    <mergeCell ref="R408:S408"/>
    <mergeCell ref="U408:V408"/>
    <mergeCell ref="X408:Y408"/>
    <mergeCell ref="AA408:AB408"/>
    <mergeCell ref="AD408:AE408"/>
    <mergeCell ref="I407:J407"/>
    <mergeCell ref="L407:M407"/>
    <mergeCell ref="O407:P407"/>
    <mergeCell ref="R407:S407"/>
    <mergeCell ref="U407:V407"/>
    <mergeCell ref="X407:Y407"/>
    <mergeCell ref="AA405:AB405"/>
    <mergeCell ref="AD405:AE405"/>
    <mergeCell ref="I406:J406"/>
    <mergeCell ref="L406:M406"/>
    <mergeCell ref="O406:P406"/>
    <mergeCell ref="R406:S406"/>
    <mergeCell ref="U406:V406"/>
    <mergeCell ref="X406:Y406"/>
    <mergeCell ref="AA406:AB406"/>
    <mergeCell ref="AD406:AE406"/>
    <mergeCell ref="I405:J405"/>
    <mergeCell ref="L405:M405"/>
    <mergeCell ref="O405:P405"/>
    <mergeCell ref="R405:S405"/>
    <mergeCell ref="U405:V405"/>
    <mergeCell ref="X405:Y405"/>
    <mergeCell ref="AA403:AB403"/>
    <mergeCell ref="AD403:AE403"/>
    <mergeCell ref="I404:J404"/>
    <mergeCell ref="L404:M404"/>
    <mergeCell ref="O404:P404"/>
    <mergeCell ref="R404:S404"/>
    <mergeCell ref="U404:V404"/>
    <mergeCell ref="X404:Y404"/>
    <mergeCell ref="AA404:AB404"/>
    <mergeCell ref="AD404:AE404"/>
    <mergeCell ref="I403:J403"/>
    <mergeCell ref="L403:M403"/>
    <mergeCell ref="O403:P403"/>
    <mergeCell ref="R403:S403"/>
    <mergeCell ref="U403:V403"/>
    <mergeCell ref="X403:Y403"/>
    <mergeCell ref="AA401:AB401"/>
    <mergeCell ref="AD401:AE401"/>
    <mergeCell ref="I402:J402"/>
    <mergeCell ref="L402:M402"/>
    <mergeCell ref="O402:P402"/>
    <mergeCell ref="R402:S402"/>
    <mergeCell ref="U402:V402"/>
    <mergeCell ref="X402:Y402"/>
    <mergeCell ref="AA402:AB402"/>
    <mergeCell ref="AD402:AE402"/>
    <mergeCell ref="I401:J401"/>
    <mergeCell ref="L401:M401"/>
    <mergeCell ref="O401:P401"/>
    <mergeCell ref="R401:S401"/>
    <mergeCell ref="U401:V401"/>
    <mergeCell ref="X401:Y401"/>
    <mergeCell ref="AA399:AB399"/>
    <mergeCell ref="AD399:AE399"/>
    <mergeCell ref="I400:J400"/>
    <mergeCell ref="L400:M400"/>
    <mergeCell ref="O400:P400"/>
    <mergeCell ref="R400:S400"/>
    <mergeCell ref="U400:V400"/>
    <mergeCell ref="X400:Y400"/>
    <mergeCell ref="AA400:AB400"/>
    <mergeCell ref="AD400:AE400"/>
    <mergeCell ref="I399:J399"/>
    <mergeCell ref="L399:M399"/>
    <mergeCell ref="O399:P399"/>
    <mergeCell ref="R399:S399"/>
    <mergeCell ref="U399:V399"/>
    <mergeCell ref="X399:Y399"/>
    <mergeCell ref="AA397:AB397"/>
    <mergeCell ref="AD397:AE397"/>
    <mergeCell ref="I398:J398"/>
    <mergeCell ref="L398:M398"/>
    <mergeCell ref="O398:P398"/>
    <mergeCell ref="R398:S398"/>
    <mergeCell ref="U398:V398"/>
    <mergeCell ref="X398:Y398"/>
    <mergeCell ref="AA398:AB398"/>
    <mergeCell ref="AD398:AE398"/>
    <mergeCell ref="I397:J397"/>
    <mergeCell ref="L397:M397"/>
    <mergeCell ref="O397:P397"/>
    <mergeCell ref="R397:S397"/>
    <mergeCell ref="U397:V397"/>
    <mergeCell ref="X397:Y397"/>
    <mergeCell ref="AA395:AB395"/>
    <mergeCell ref="AD395:AE395"/>
    <mergeCell ref="I396:J396"/>
    <mergeCell ref="L396:M396"/>
    <mergeCell ref="O396:P396"/>
    <mergeCell ref="R396:S396"/>
    <mergeCell ref="U396:V396"/>
    <mergeCell ref="X396:Y396"/>
    <mergeCell ref="AA396:AB396"/>
    <mergeCell ref="AD396:AE396"/>
    <mergeCell ref="I395:J395"/>
    <mergeCell ref="L395:M395"/>
    <mergeCell ref="O395:P395"/>
    <mergeCell ref="R395:S395"/>
    <mergeCell ref="U395:V395"/>
    <mergeCell ref="X395:Y395"/>
    <mergeCell ref="Z393:AB393"/>
    <mergeCell ref="AC393:AE393"/>
    <mergeCell ref="H394:J394"/>
    <mergeCell ref="K394:M394"/>
    <mergeCell ref="N394:P394"/>
    <mergeCell ref="Q394:S394"/>
    <mergeCell ref="T394:V394"/>
    <mergeCell ref="W394:Y394"/>
    <mergeCell ref="Z394:AB394"/>
    <mergeCell ref="AC394:AE394"/>
    <mergeCell ref="H393:J393"/>
    <mergeCell ref="K393:M393"/>
    <mergeCell ref="N393:P393"/>
    <mergeCell ref="Q393:S393"/>
    <mergeCell ref="T393:V393"/>
    <mergeCell ref="W393:Y393"/>
    <mergeCell ref="Z391:AB391"/>
    <mergeCell ref="AC391:AE391"/>
    <mergeCell ref="H392:J392"/>
    <mergeCell ref="K392:M392"/>
    <mergeCell ref="N392:P392"/>
    <mergeCell ref="Q392:S392"/>
    <mergeCell ref="T392:V392"/>
    <mergeCell ref="W392:Y392"/>
    <mergeCell ref="Z392:AB392"/>
    <mergeCell ref="AC392:AE392"/>
    <mergeCell ref="H391:J391"/>
    <mergeCell ref="K391:M391"/>
    <mergeCell ref="N391:P391"/>
    <mergeCell ref="Q391:S391"/>
    <mergeCell ref="T391:V391"/>
    <mergeCell ref="W391:Y391"/>
    <mergeCell ref="Z389:AB389"/>
    <mergeCell ref="AC389:AE389"/>
    <mergeCell ref="H390:J390"/>
    <mergeCell ref="K390:M390"/>
    <mergeCell ref="N390:P390"/>
    <mergeCell ref="Q390:S390"/>
    <mergeCell ref="T390:V390"/>
    <mergeCell ref="W390:Y390"/>
    <mergeCell ref="Z390:AB390"/>
    <mergeCell ref="AC390:AE390"/>
    <mergeCell ref="H389:J389"/>
    <mergeCell ref="K389:M389"/>
    <mergeCell ref="N389:P389"/>
    <mergeCell ref="Q389:S389"/>
    <mergeCell ref="T389:V389"/>
    <mergeCell ref="W389:Y389"/>
    <mergeCell ref="Z387:AB387"/>
    <mergeCell ref="AC387:AE387"/>
    <mergeCell ref="H388:J388"/>
    <mergeCell ref="K388:M388"/>
    <mergeCell ref="N388:P388"/>
    <mergeCell ref="Q388:S388"/>
    <mergeCell ref="T388:V388"/>
    <mergeCell ref="W388:Y388"/>
    <mergeCell ref="Z388:AB388"/>
    <mergeCell ref="AC388:AE388"/>
    <mergeCell ref="H387:J387"/>
    <mergeCell ref="K387:M387"/>
    <mergeCell ref="N387:P387"/>
    <mergeCell ref="Q387:S387"/>
    <mergeCell ref="T387:V387"/>
    <mergeCell ref="W387:Y387"/>
    <mergeCell ref="Z385:AB385"/>
    <mergeCell ref="AC385:AE385"/>
    <mergeCell ref="H386:J386"/>
    <mergeCell ref="K386:M386"/>
    <mergeCell ref="N386:P386"/>
    <mergeCell ref="Q386:S386"/>
    <mergeCell ref="T386:V386"/>
    <mergeCell ref="W386:Y386"/>
    <mergeCell ref="Z386:AB386"/>
    <mergeCell ref="AC386:AE386"/>
    <mergeCell ref="H385:J385"/>
    <mergeCell ref="K385:M385"/>
    <mergeCell ref="N385:P385"/>
    <mergeCell ref="Q385:S385"/>
    <mergeCell ref="T385:V385"/>
    <mergeCell ref="W385:Y385"/>
    <mergeCell ref="Z383:AB383"/>
    <mergeCell ref="AC383:AE383"/>
    <mergeCell ref="H384:J384"/>
    <mergeCell ref="K384:M384"/>
    <mergeCell ref="N384:P384"/>
    <mergeCell ref="Q384:S384"/>
    <mergeCell ref="T384:V384"/>
    <mergeCell ref="W384:Y384"/>
    <mergeCell ref="Z384:AB384"/>
    <mergeCell ref="AC384:AE384"/>
    <mergeCell ref="H383:J383"/>
    <mergeCell ref="K383:M383"/>
    <mergeCell ref="N383:P383"/>
    <mergeCell ref="Q383:S383"/>
    <mergeCell ref="T383:V383"/>
    <mergeCell ref="W383:Y383"/>
    <mergeCell ref="AC381:AE381"/>
    <mergeCell ref="H382:J382"/>
    <mergeCell ref="K382:M382"/>
    <mergeCell ref="N382:P382"/>
    <mergeCell ref="Q382:S382"/>
    <mergeCell ref="T382:V382"/>
    <mergeCell ref="W382:Y382"/>
    <mergeCell ref="Z382:AB382"/>
    <mergeCell ref="AC382:AE382"/>
    <mergeCell ref="Z380:AB380"/>
    <mergeCell ref="AC380:AE380"/>
    <mergeCell ref="C381:G381"/>
    <mergeCell ref="H381:J381"/>
    <mergeCell ref="K381:M381"/>
    <mergeCell ref="N381:P381"/>
    <mergeCell ref="Q381:S381"/>
    <mergeCell ref="T381:V381"/>
    <mergeCell ref="W381:Y381"/>
    <mergeCell ref="Z381:AB381"/>
    <mergeCell ref="DD357:DH357"/>
    <mergeCell ref="DJ357:DN357"/>
    <mergeCell ref="DO357:DQ357"/>
    <mergeCell ref="C380:D380"/>
    <mergeCell ref="H380:J380"/>
    <mergeCell ref="K380:M380"/>
    <mergeCell ref="N380:P380"/>
    <mergeCell ref="Q380:S380"/>
    <mergeCell ref="T380:V380"/>
    <mergeCell ref="W380:Y380"/>
    <mergeCell ref="CA304:CB304"/>
    <mergeCell ref="CB357:CD357"/>
    <mergeCell ref="CF357:CJ357"/>
    <mergeCell ref="CL357:CP357"/>
    <mergeCell ref="CR357:CV357"/>
    <mergeCell ref="CX357:DB357"/>
    <mergeCell ref="AA114:AE114"/>
    <mergeCell ref="N115:S115"/>
    <mergeCell ref="T115:Z115"/>
    <mergeCell ref="AA115:AE115"/>
    <mergeCell ref="N116:S116"/>
    <mergeCell ref="T116:Z116"/>
    <mergeCell ref="AA116:AB116"/>
    <mergeCell ref="AD116:AE116"/>
    <mergeCell ref="D113:M113"/>
    <mergeCell ref="N113:P113"/>
    <mergeCell ref="Q113:U113"/>
    <mergeCell ref="V113:Z113"/>
    <mergeCell ref="AA113:AE113"/>
    <mergeCell ref="C114:C116"/>
    <mergeCell ref="D114:M116"/>
    <mergeCell ref="N114:P114"/>
    <mergeCell ref="Q114:U114"/>
    <mergeCell ref="V114:Z114"/>
    <mergeCell ref="D111:M111"/>
    <mergeCell ref="N111:P111"/>
    <mergeCell ref="Q111:U111"/>
    <mergeCell ref="V111:Z111"/>
    <mergeCell ref="AA111:AE111"/>
    <mergeCell ref="D112:M112"/>
    <mergeCell ref="N112:P112"/>
    <mergeCell ref="Q112:U112"/>
    <mergeCell ref="V112:Z112"/>
    <mergeCell ref="AA112:AE112"/>
    <mergeCell ref="Z109:AB109"/>
    <mergeCell ref="AC109:AE109"/>
    <mergeCell ref="H110:J110"/>
    <mergeCell ref="K110:M110"/>
    <mergeCell ref="N110:P110"/>
    <mergeCell ref="Q110:S110"/>
    <mergeCell ref="T110:V110"/>
    <mergeCell ref="W110:Y110"/>
    <mergeCell ref="Z110:AB110"/>
    <mergeCell ref="AC110:AE110"/>
    <mergeCell ref="H109:J109"/>
    <mergeCell ref="K109:M109"/>
    <mergeCell ref="N109:P109"/>
    <mergeCell ref="Q109:S109"/>
    <mergeCell ref="T109:V109"/>
    <mergeCell ref="W109:Y109"/>
    <mergeCell ref="Z107:AB107"/>
    <mergeCell ref="AC107:AE107"/>
    <mergeCell ref="H108:J108"/>
    <mergeCell ref="K108:M108"/>
    <mergeCell ref="N108:P108"/>
    <mergeCell ref="Q108:S108"/>
    <mergeCell ref="T108:V108"/>
    <mergeCell ref="W108:Y108"/>
    <mergeCell ref="Z108:AB108"/>
    <mergeCell ref="AC108:AE108"/>
    <mergeCell ref="T106:V106"/>
    <mergeCell ref="W106:Y106"/>
    <mergeCell ref="Z106:AB106"/>
    <mergeCell ref="AC106:AE106"/>
    <mergeCell ref="H107:J107"/>
    <mergeCell ref="K107:M107"/>
    <mergeCell ref="N107:P107"/>
    <mergeCell ref="Q107:S107"/>
    <mergeCell ref="T107:V107"/>
    <mergeCell ref="W107:Y107"/>
    <mergeCell ref="AC104:AE104"/>
    <mergeCell ref="H105:J105"/>
    <mergeCell ref="K105:M105"/>
    <mergeCell ref="N105:P105"/>
    <mergeCell ref="Q105:S105"/>
    <mergeCell ref="T105:V105"/>
    <mergeCell ref="W105:Y105"/>
    <mergeCell ref="Z105:AB105"/>
    <mergeCell ref="AC105:AE105"/>
    <mergeCell ref="W103:Y103"/>
    <mergeCell ref="Z103:AB103"/>
    <mergeCell ref="AC103:AE103"/>
    <mergeCell ref="H104:J104"/>
    <mergeCell ref="K104:M104"/>
    <mergeCell ref="N104:P104"/>
    <mergeCell ref="Q104:S104"/>
    <mergeCell ref="T104:V104"/>
    <mergeCell ref="W104:Y104"/>
    <mergeCell ref="Z104:AB104"/>
    <mergeCell ref="C103:C109"/>
    <mergeCell ref="H103:J103"/>
    <mergeCell ref="K103:M103"/>
    <mergeCell ref="N103:P103"/>
    <mergeCell ref="Q103:S103"/>
    <mergeCell ref="T103:V103"/>
    <mergeCell ref="H106:J106"/>
    <mergeCell ref="K106:M106"/>
    <mergeCell ref="N106:P106"/>
    <mergeCell ref="Q106:S106"/>
    <mergeCell ref="Z101:AB101"/>
    <mergeCell ref="AC101:AE101"/>
    <mergeCell ref="H102:J102"/>
    <mergeCell ref="K102:M102"/>
    <mergeCell ref="N102:P102"/>
    <mergeCell ref="Q102:S102"/>
    <mergeCell ref="T102:V102"/>
    <mergeCell ref="W102:Y102"/>
    <mergeCell ref="Z102:AB102"/>
    <mergeCell ref="AC102:AE102"/>
    <mergeCell ref="H101:J101"/>
    <mergeCell ref="K101:M101"/>
    <mergeCell ref="N101:P101"/>
    <mergeCell ref="Q101:S101"/>
    <mergeCell ref="T101:V101"/>
    <mergeCell ref="W101:Y101"/>
    <mergeCell ref="Z99:AB99"/>
    <mergeCell ref="AC99:AE99"/>
    <mergeCell ref="H100:J100"/>
    <mergeCell ref="K100:M100"/>
    <mergeCell ref="N100:P100"/>
    <mergeCell ref="Q100:S100"/>
    <mergeCell ref="T100:V100"/>
    <mergeCell ref="W100:Y100"/>
    <mergeCell ref="Z100:AB100"/>
    <mergeCell ref="AC100:AE100"/>
    <mergeCell ref="H99:J99"/>
    <mergeCell ref="K99:M99"/>
    <mergeCell ref="N99:P99"/>
    <mergeCell ref="Q99:S99"/>
    <mergeCell ref="T99:V99"/>
    <mergeCell ref="W99:Y99"/>
    <mergeCell ref="Z97:AB97"/>
    <mergeCell ref="AC97:AE97"/>
    <mergeCell ref="H98:J98"/>
    <mergeCell ref="K98:M98"/>
    <mergeCell ref="N98:P98"/>
    <mergeCell ref="Q98:S98"/>
    <mergeCell ref="T98:V98"/>
    <mergeCell ref="W98:Y98"/>
    <mergeCell ref="Z98:AB98"/>
    <mergeCell ref="AC98:AE98"/>
    <mergeCell ref="H97:J97"/>
    <mergeCell ref="K97:M97"/>
    <mergeCell ref="N97:P97"/>
    <mergeCell ref="Q97:S97"/>
    <mergeCell ref="T97:V97"/>
    <mergeCell ref="W97:Y97"/>
    <mergeCell ref="AC95:AE95"/>
    <mergeCell ref="H96:J96"/>
    <mergeCell ref="K96:M96"/>
    <mergeCell ref="N96:P96"/>
    <mergeCell ref="Q96:S96"/>
    <mergeCell ref="T96:V96"/>
    <mergeCell ref="W96:Y96"/>
    <mergeCell ref="Z96:AB96"/>
    <mergeCell ref="AC96:AE96"/>
    <mergeCell ref="Z94:AB94"/>
    <mergeCell ref="AC94:AE94"/>
    <mergeCell ref="C95:C101"/>
    <mergeCell ref="H95:J95"/>
    <mergeCell ref="K95:M95"/>
    <mergeCell ref="N95:P95"/>
    <mergeCell ref="Q95:S95"/>
    <mergeCell ref="T95:V95"/>
    <mergeCell ref="W95:Y95"/>
    <mergeCell ref="Z95:AB95"/>
    <mergeCell ref="H94:J94"/>
    <mergeCell ref="K94:M94"/>
    <mergeCell ref="N94:P94"/>
    <mergeCell ref="Q94:S94"/>
    <mergeCell ref="T94:V94"/>
    <mergeCell ref="W94:Y94"/>
    <mergeCell ref="Z92:AB92"/>
    <mergeCell ref="AC92:AE92"/>
    <mergeCell ref="H93:J93"/>
    <mergeCell ref="K93:M93"/>
    <mergeCell ref="N93:P93"/>
    <mergeCell ref="Q93:S93"/>
    <mergeCell ref="T93:V93"/>
    <mergeCell ref="W93:Y93"/>
    <mergeCell ref="Z93:AB93"/>
    <mergeCell ref="AC93:AE93"/>
    <mergeCell ref="H92:J92"/>
    <mergeCell ref="K92:M92"/>
    <mergeCell ref="N92:P92"/>
    <mergeCell ref="Q92:S92"/>
    <mergeCell ref="T92:V92"/>
    <mergeCell ref="W92:Y92"/>
    <mergeCell ref="Z90:AB90"/>
    <mergeCell ref="AC90:AE90"/>
    <mergeCell ref="H91:J91"/>
    <mergeCell ref="K91:M91"/>
    <mergeCell ref="N91:P91"/>
    <mergeCell ref="Q91:S91"/>
    <mergeCell ref="T91:V91"/>
    <mergeCell ref="W91:Y91"/>
    <mergeCell ref="Z91:AB91"/>
    <mergeCell ref="AC91:AE91"/>
    <mergeCell ref="H90:J90"/>
    <mergeCell ref="K90:M90"/>
    <mergeCell ref="N90:P90"/>
    <mergeCell ref="Q90:S90"/>
    <mergeCell ref="T90:V90"/>
    <mergeCell ref="W90:Y90"/>
    <mergeCell ref="Z88:AB88"/>
    <mergeCell ref="AC88:AE88"/>
    <mergeCell ref="H89:J89"/>
    <mergeCell ref="K89:M89"/>
    <mergeCell ref="N89:P89"/>
    <mergeCell ref="Q89:S89"/>
    <mergeCell ref="T89:V89"/>
    <mergeCell ref="W89:Y89"/>
    <mergeCell ref="Z89:AB89"/>
    <mergeCell ref="AC89:AE89"/>
    <mergeCell ref="H88:J88"/>
    <mergeCell ref="K88:M88"/>
    <mergeCell ref="N88:P88"/>
    <mergeCell ref="Q88:S88"/>
    <mergeCell ref="T88:V88"/>
    <mergeCell ref="W88:Y88"/>
    <mergeCell ref="Z86:AB86"/>
    <mergeCell ref="AC86:AE86"/>
    <mergeCell ref="H87:J87"/>
    <mergeCell ref="K87:M87"/>
    <mergeCell ref="N87:P87"/>
    <mergeCell ref="Q87:S87"/>
    <mergeCell ref="T87:V87"/>
    <mergeCell ref="W87:Y87"/>
    <mergeCell ref="Z87:AB87"/>
    <mergeCell ref="AC87:AE87"/>
    <mergeCell ref="H86:J86"/>
    <mergeCell ref="K86:M86"/>
    <mergeCell ref="N86:P86"/>
    <mergeCell ref="Q86:S86"/>
    <mergeCell ref="T86:V86"/>
    <mergeCell ref="W86:Y86"/>
    <mergeCell ref="AC83:AE84"/>
    <mergeCell ref="H85:J85"/>
    <mergeCell ref="K85:M85"/>
    <mergeCell ref="N85:P85"/>
    <mergeCell ref="Q85:S85"/>
    <mergeCell ref="T85:V85"/>
    <mergeCell ref="W85:Y85"/>
    <mergeCell ref="Z85:AB85"/>
    <mergeCell ref="AC85:AE85"/>
    <mergeCell ref="Z82:AB82"/>
    <mergeCell ref="AC82:AE82"/>
    <mergeCell ref="C83:G84"/>
    <mergeCell ref="H83:J84"/>
    <mergeCell ref="K83:M84"/>
    <mergeCell ref="N83:P84"/>
    <mergeCell ref="Q83:S84"/>
    <mergeCell ref="T83:V84"/>
    <mergeCell ref="W83:Y84"/>
    <mergeCell ref="Z83:AB84"/>
    <mergeCell ref="H82:J82"/>
    <mergeCell ref="K82:M82"/>
    <mergeCell ref="N82:P82"/>
    <mergeCell ref="Q82:S82"/>
    <mergeCell ref="T82:V82"/>
    <mergeCell ref="W82:Y82"/>
    <mergeCell ref="Z80:AB80"/>
    <mergeCell ref="AC80:AE80"/>
    <mergeCell ref="H81:J81"/>
    <mergeCell ref="K81:M81"/>
    <mergeCell ref="N81:P81"/>
    <mergeCell ref="Q81:S81"/>
    <mergeCell ref="T81:V81"/>
    <mergeCell ref="W81:Y81"/>
    <mergeCell ref="Z81:AB81"/>
    <mergeCell ref="AC81:AE81"/>
    <mergeCell ref="H80:J80"/>
    <mergeCell ref="K80:M80"/>
    <mergeCell ref="N80:P80"/>
    <mergeCell ref="Q80:S80"/>
    <mergeCell ref="T80:V80"/>
    <mergeCell ref="W80:Y80"/>
    <mergeCell ref="Z78:AB78"/>
    <mergeCell ref="AC78:AE78"/>
    <mergeCell ref="H79:J79"/>
    <mergeCell ref="K79:M79"/>
    <mergeCell ref="N79:P79"/>
    <mergeCell ref="Q79:S79"/>
    <mergeCell ref="T79:V79"/>
    <mergeCell ref="W79:Y79"/>
    <mergeCell ref="Z79:AB79"/>
    <mergeCell ref="AC79:AE79"/>
    <mergeCell ref="H78:J78"/>
    <mergeCell ref="K78:M78"/>
    <mergeCell ref="N78:P78"/>
    <mergeCell ref="Q78:S78"/>
    <mergeCell ref="T78:V78"/>
    <mergeCell ref="W78:Y78"/>
    <mergeCell ref="Z76:AB76"/>
    <mergeCell ref="AC76:AE76"/>
    <mergeCell ref="H77:J77"/>
    <mergeCell ref="K77:M77"/>
    <mergeCell ref="N77:P77"/>
    <mergeCell ref="Q77:S77"/>
    <mergeCell ref="T77:V77"/>
    <mergeCell ref="W77:Y77"/>
    <mergeCell ref="Z77:AB77"/>
    <mergeCell ref="AC77:AE77"/>
    <mergeCell ref="H76:J76"/>
    <mergeCell ref="K76:M76"/>
    <mergeCell ref="N76:P76"/>
    <mergeCell ref="Q76:S76"/>
    <mergeCell ref="T76:V76"/>
    <mergeCell ref="W76:Y76"/>
    <mergeCell ref="Z74:AB74"/>
    <mergeCell ref="AC74:AE74"/>
    <mergeCell ref="H75:J75"/>
    <mergeCell ref="K75:M75"/>
    <mergeCell ref="N75:P75"/>
    <mergeCell ref="Q75:S75"/>
    <mergeCell ref="T75:V75"/>
    <mergeCell ref="W75:Y75"/>
    <mergeCell ref="Z75:AB75"/>
    <mergeCell ref="AC75:AE75"/>
    <mergeCell ref="H74:J74"/>
    <mergeCell ref="K74:M74"/>
    <mergeCell ref="N74:P74"/>
    <mergeCell ref="Q74:S74"/>
    <mergeCell ref="T74:V74"/>
    <mergeCell ref="W74:Y74"/>
    <mergeCell ref="Z72:AB72"/>
    <mergeCell ref="AC72:AE72"/>
    <mergeCell ref="H73:J73"/>
    <mergeCell ref="K73:M73"/>
    <mergeCell ref="N73:P73"/>
    <mergeCell ref="Q73:S73"/>
    <mergeCell ref="T73:V73"/>
    <mergeCell ref="W73:Y73"/>
    <mergeCell ref="Z73:AB73"/>
    <mergeCell ref="AC73:AE73"/>
    <mergeCell ref="H72:J72"/>
    <mergeCell ref="K72:M72"/>
    <mergeCell ref="N72:P72"/>
    <mergeCell ref="Q72:S72"/>
    <mergeCell ref="T72:V72"/>
    <mergeCell ref="W72:Y72"/>
    <mergeCell ref="Z70:AB70"/>
    <mergeCell ref="AC70:AE70"/>
    <mergeCell ref="H71:J71"/>
    <mergeCell ref="K71:M71"/>
    <mergeCell ref="N71:P71"/>
    <mergeCell ref="Q71:S71"/>
    <mergeCell ref="T71:V71"/>
    <mergeCell ref="W71:Y71"/>
    <mergeCell ref="Z71:AB71"/>
    <mergeCell ref="AC71:AE71"/>
    <mergeCell ref="H70:J70"/>
    <mergeCell ref="K70:M70"/>
    <mergeCell ref="N70:P70"/>
    <mergeCell ref="Q70:S70"/>
    <mergeCell ref="T70:V70"/>
    <mergeCell ref="W70:Y70"/>
    <mergeCell ref="Z68:AB68"/>
    <mergeCell ref="AC68:AE68"/>
    <mergeCell ref="H69:J69"/>
    <mergeCell ref="K69:M69"/>
    <mergeCell ref="N69:P69"/>
    <mergeCell ref="Q69:S69"/>
    <mergeCell ref="T69:V69"/>
    <mergeCell ref="W69:Y69"/>
    <mergeCell ref="Z69:AB69"/>
    <mergeCell ref="AC69:AE69"/>
    <mergeCell ref="H68:J68"/>
    <mergeCell ref="K68:M68"/>
    <mergeCell ref="N68:P68"/>
    <mergeCell ref="Q68:S68"/>
    <mergeCell ref="T68:V68"/>
    <mergeCell ref="W68:Y68"/>
    <mergeCell ref="Z66:AB66"/>
    <mergeCell ref="AC66:AE66"/>
    <mergeCell ref="H67:J67"/>
    <mergeCell ref="K67:M67"/>
    <mergeCell ref="N67:P67"/>
    <mergeCell ref="Q67:S67"/>
    <mergeCell ref="T67:V67"/>
    <mergeCell ref="W67:Y67"/>
    <mergeCell ref="Z67:AB67"/>
    <mergeCell ref="AC67:AE67"/>
    <mergeCell ref="H66:J66"/>
    <mergeCell ref="K66:M66"/>
    <mergeCell ref="N66:P66"/>
    <mergeCell ref="Q66:S66"/>
    <mergeCell ref="T66:V66"/>
    <mergeCell ref="W66:Y66"/>
    <mergeCell ref="Z64:AB64"/>
    <mergeCell ref="AC64:AE64"/>
    <mergeCell ref="H65:J65"/>
    <mergeCell ref="K65:M65"/>
    <mergeCell ref="N65:P65"/>
    <mergeCell ref="Q65:S65"/>
    <mergeCell ref="T65:V65"/>
    <mergeCell ref="W65:Y65"/>
    <mergeCell ref="Z65:AB65"/>
    <mergeCell ref="AC65:AE65"/>
    <mergeCell ref="H64:J64"/>
    <mergeCell ref="K64:M64"/>
    <mergeCell ref="N64:P64"/>
    <mergeCell ref="Q64:S64"/>
    <mergeCell ref="T64:V64"/>
    <mergeCell ref="W64:Y64"/>
    <mergeCell ref="AA62:AB62"/>
    <mergeCell ref="AD62:AE62"/>
    <mergeCell ref="H63:J63"/>
    <mergeCell ref="K63:M63"/>
    <mergeCell ref="N63:P63"/>
    <mergeCell ref="Q63:S63"/>
    <mergeCell ref="T63:V63"/>
    <mergeCell ref="W63:Y63"/>
    <mergeCell ref="Z63:AB63"/>
    <mergeCell ref="AC63:AE63"/>
    <mergeCell ref="U61:V61"/>
    <mergeCell ref="X61:Y61"/>
    <mergeCell ref="AA61:AB61"/>
    <mergeCell ref="AD61:AE61"/>
    <mergeCell ref="I62:J62"/>
    <mergeCell ref="L62:M62"/>
    <mergeCell ref="O62:P62"/>
    <mergeCell ref="R62:S62"/>
    <mergeCell ref="U62:V62"/>
    <mergeCell ref="X62:Y62"/>
    <mergeCell ref="AD59:AE59"/>
    <mergeCell ref="I60:J60"/>
    <mergeCell ref="L60:M60"/>
    <mergeCell ref="O60:P60"/>
    <mergeCell ref="R60:S60"/>
    <mergeCell ref="U60:V60"/>
    <mergeCell ref="X60:Y60"/>
    <mergeCell ref="AA60:AB60"/>
    <mergeCell ref="AD60:AE60"/>
    <mergeCell ref="X58:Y58"/>
    <mergeCell ref="AA58:AB58"/>
    <mergeCell ref="AD58:AE58"/>
    <mergeCell ref="I59:J59"/>
    <mergeCell ref="L59:M59"/>
    <mergeCell ref="O59:P59"/>
    <mergeCell ref="R59:S59"/>
    <mergeCell ref="U59:V59"/>
    <mergeCell ref="X59:Y59"/>
    <mergeCell ref="AA59:AB59"/>
    <mergeCell ref="C58:D62"/>
    <mergeCell ref="I58:J58"/>
    <mergeCell ref="L58:M58"/>
    <mergeCell ref="O58:P58"/>
    <mergeCell ref="R58:S58"/>
    <mergeCell ref="U58:V58"/>
    <mergeCell ref="I61:J61"/>
    <mergeCell ref="L61:M61"/>
    <mergeCell ref="O61:P61"/>
    <mergeCell ref="R61:S61"/>
    <mergeCell ref="AA56:AB56"/>
    <mergeCell ref="AD56:AE56"/>
    <mergeCell ref="I57:J57"/>
    <mergeCell ref="L57:M57"/>
    <mergeCell ref="O57:P57"/>
    <mergeCell ref="R57:S57"/>
    <mergeCell ref="U57:V57"/>
    <mergeCell ref="X57:Y57"/>
    <mergeCell ref="AA57:AB57"/>
    <mergeCell ref="AD57:AE57"/>
    <mergeCell ref="U55:V55"/>
    <mergeCell ref="X55:Y55"/>
    <mergeCell ref="AA55:AB55"/>
    <mergeCell ref="AD55:AE55"/>
    <mergeCell ref="I56:J56"/>
    <mergeCell ref="L56:M56"/>
    <mergeCell ref="O56:P56"/>
    <mergeCell ref="R56:S56"/>
    <mergeCell ref="U56:V56"/>
    <mergeCell ref="X56:Y56"/>
    <mergeCell ref="AD53:AE53"/>
    <mergeCell ref="I54:J54"/>
    <mergeCell ref="L54:M54"/>
    <mergeCell ref="O54:P54"/>
    <mergeCell ref="R54:S54"/>
    <mergeCell ref="U54:V54"/>
    <mergeCell ref="X54:Y54"/>
    <mergeCell ref="AA54:AB54"/>
    <mergeCell ref="AD54:AE54"/>
    <mergeCell ref="X52:Y52"/>
    <mergeCell ref="AA52:AB52"/>
    <mergeCell ref="AD52:AE52"/>
    <mergeCell ref="I53:J53"/>
    <mergeCell ref="L53:M53"/>
    <mergeCell ref="O53:P53"/>
    <mergeCell ref="R53:S53"/>
    <mergeCell ref="U53:V53"/>
    <mergeCell ref="X53:Y53"/>
    <mergeCell ref="AA53:AB53"/>
    <mergeCell ref="C52:D57"/>
    <mergeCell ref="I52:J52"/>
    <mergeCell ref="L52:M52"/>
    <mergeCell ref="O52:P52"/>
    <mergeCell ref="R52:S52"/>
    <mergeCell ref="U52:V52"/>
    <mergeCell ref="I55:J55"/>
    <mergeCell ref="L55:M55"/>
    <mergeCell ref="O55:P55"/>
    <mergeCell ref="R55:S55"/>
    <mergeCell ref="AD50:AE50"/>
    <mergeCell ref="I51:J51"/>
    <mergeCell ref="L51:M51"/>
    <mergeCell ref="O51:P51"/>
    <mergeCell ref="R51:S51"/>
    <mergeCell ref="U51:V51"/>
    <mergeCell ref="X51:Y51"/>
    <mergeCell ref="AA51:AB51"/>
    <mergeCell ref="AD51:AE51"/>
    <mergeCell ref="X49:Y49"/>
    <mergeCell ref="AA49:AB49"/>
    <mergeCell ref="AD49:AE49"/>
    <mergeCell ref="I50:J50"/>
    <mergeCell ref="L50:M50"/>
    <mergeCell ref="O50:P50"/>
    <mergeCell ref="R50:S50"/>
    <mergeCell ref="U50:V50"/>
    <mergeCell ref="X50:Y50"/>
    <mergeCell ref="AA50:AB50"/>
    <mergeCell ref="C49:D51"/>
    <mergeCell ref="I49:J49"/>
    <mergeCell ref="L49:M49"/>
    <mergeCell ref="O49:P49"/>
    <mergeCell ref="R49:S49"/>
    <mergeCell ref="U49:V49"/>
    <mergeCell ref="AD47:AE47"/>
    <mergeCell ref="I48:J48"/>
    <mergeCell ref="L48:M48"/>
    <mergeCell ref="O48:P48"/>
    <mergeCell ref="R48:S48"/>
    <mergeCell ref="U48:V48"/>
    <mergeCell ref="X48:Y48"/>
    <mergeCell ref="AA48:AB48"/>
    <mergeCell ref="AD48:AE48"/>
    <mergeCell ref="X46:Y46"/>
    <mergeCell ref="AA46:AB46"/>
    <mergeCell ref="AD46:AE46"/>
    <mergeCell ref="I47:J47"/>
    <mergeCell ref="L47:M47"/>
    <mergeCell ref="O47:P47"/>
    <mergeCell ref="R47:S47"/>
    <mergeCell ref="U47:V47"/>
    <mergeCell ref="X47:Y47"/>
    <mergeCell ref="AA47:AB47"/>
    <mergeCell ref="C46:D48"/>
    <mergeCell ref="I46:J46"/>
    <mergeCell ref="L46:M46"/>
    <mergeCell ref="O46:P46"/>
    <mergeCell ref="R46:S46"/>
    <mergeCell ref="U46:V46"/>
    <mergeCell ref="AD44:AE44"/>
    <mergeCell ref="I45:J45"/>
    <mergeCell ref="L45:M45"/>
    <mergeCell ref="O45:P45"/>
    <mergeCell ref="R45:S45"/>
    <mergeCell ref="U45:V45"/>
    <mergeCell ref="X45:Y45"/>
    <mergeCell ref="AA45:AB45"/>
    <mergeCell ref="AD45:AE45"/>
    <mergeCell ref="X43:Y43"/>
    <mergeCell ref="AA43:AB43"/>
    <mergeCell ref="AD43:AE43"/>
    <mergeCell ref="I44:J44"/>
    <mergeCell ref="L44:M44"/>
    <mergeCell ref="O44:P44"/>
    <mergeCell ref="R44:S44"/>
    <mergeCell ref="U44:V44"/>
    <mergeCell ref="X44:Y44"/>
    <mergeCell ref="AA44:AB44"/>
    <mergeCell ref="C43:D45"/>
    <mergeCell ref="I43:J43"/>
    <mergeCell ref="L43:M43"/>
    <mergeCell ref="O43:P43"/>
    <mergeCell ref="R43:S43"/>
    <mergeCell ref="U43:V43"/>
    <mergeCell ref="Z41:AB41"/>
    <mergeCell ref="AC41:AE41"/>
    <mergeCell ref="H42:J42"/>
    <mergeCell ref="K42:M42"/>
    <mergeCell ref="N42:P42"/>
    <mergeCell ref="Q42:S42"/>
    <mergeCell ref="T42:V42"/>
    <mergeCell ref="W42:Y42"/>
    <mergeCell ref="Z42:AB42"/>
    <mergeCell ref="AC42:AE42"/>
    <mergeCell ref="H41:J41"/>
    <mergeCell ref="K41:M41"/>
    <mergeCell ref="N41:P41"/>
    <mergeCell ref="Q41:S41"/>
    <mergeCell ref="T41:V41"/>
    <mergeCell ref="W41:Y41"/>
    <mergeCell ref="Z39:AB39"/>
    <mergeCell ref="AC39:AE39"/>
    <mergeCell ref="H40:J40"/>
    <mergeCell ref="K40:M40"/>
    <mergeCell ref="N40:P40"/>
    <mergeCell ref="Q40:S40"/>
    <mergeCell ref="T40:V40"/>
    <mergeCell ref="W40:Y40"/>
    <mergeCell ref="Z40:AB40"/>
    <mergeCell ref="AC40:AE40"/>
    <mergeCell ref="H39:J39"/>
    <mergeCell ref="K39:M39"/>
    <mergeCell ref="N39:P39"/>
    <mergeCell ref="Q39:S39"/>
    <mergeCell ref="T39:V39"/>
    <mergeCell ref="W39:Y39"/>
    <mergeCell ref="Z37:AB37"/>
    <mergeCell ref="AC37:AE37"/>
    <mergeCell ref="H38:J38"/>
    <mergeCell ref="K38:M38"/>
    <mergeCell ref="N38:P38"/>
    <mergeCell ref="Q38:S38"/>
    <mergeCell ref="T38:V38"/>
    <mergeCell ref="W38:Y38"/>
    <mergeCell ref="Z38:AB38"/>
    <mergeCell ref="AC38:AE38"/>
    <mergeCell ref="H37:J37"/>
    <mergeCell ref="K37:M37"/>
    <mergeCell ref="N37:P37"/>
    <mergeCell ref="Q37:S37"/>
    <mergeCell ref="T37:V37"/>
    <mergeCell ref="W37:Y37"/>
    <mergeCell ref="Z35:AB35"/>
    <mergeCell ref="AC35:AE35"/>
    <mergeCell ref="H36:J36"/>
    <mergeCell ref="K36:M36"/>
    <mergeCell ref="N36:P36"/>
    <mergeCell ref="Q36:S36"/>
    <mergeCell ref="T36:V36"/>
    <mergeCell ref="W36:Y36"/>
    <mergeCell ref="Z36:AB36"/>
    <mergeCell ref="AC36:AE36"/>
    <mergeCell ref="H35:J35"/>
    <mergeCell ref="K35:M35"/>
    <mergeCell ref="N35:P35"/>
    <mergeCell ref="Q35:S35"/>
    <mergeCell ref="T35:V35"/>
    <mergeCell ref="W35:Y35"/>
    <mergeCell ref="AC33:AE33"/>
    <mergeCell ref="H34:J34"/>
    <mergeCell ref="K34:M34"/>
    <mergeCell ref="N34:P34"/>
    <mergeCell ref="Q34:S34"/>
    <mergeCell ref="T34:V34"/>
    <mergeCell ref="W34:Y34"/>
    <mergeCell ref="Z34:AB34"/>
    <mergeCell ref="AC34:AE34"/>
    <mergeCell ref="Z32:AB32"/>
    <mergeCell ref="AC32:AE32"/>
    <mergeCell ref="E33:F33"/>
    <mergeCell ref="H33:J33"/>
    <mergeCell ref="K33:M33"/>
    <mergeCell ref="N33:P33"/>
    <mergeCell ref="Q33:S33"/>
    <mergeCell ref="T33:V33"/>
    <mergeCell ref="W33:Y33"/>
    <mergeCell ref="Z33:AB33"/>
    <mergeCell ref="W31:Y31"/>
    <mergeCell ref="Z31:AB31"/>
    <mergeCell ref="AC31:AE31"/>
    <mergeCell ref="E32:F32"/>
    <mergeCell ref="H32:J32"/>
    <mergeCell ref="K32:M32"/>
    <mergeCell ref="N32:P32"/>
    <mergeCell ref="Q32:S32"/>
    <mergeCell ref="T32:V32"/>
    <mergeCell ref="W32:Y32"/>
    <mergeCell ref="E31:F31"/>
    <mergeCell ref="H31:J31"/>
    <mergeCell ref="K31:M31"/>
    <mergeCell ref="N31:P31"/>
    <mergeCell ref="Q31:S31"/>
    <mergeCell ref="T31:V31"/>
    <mergeCell ref="Z29:AB29"/>
    <mergeCell ref="AC29:AE29"/>
    <mergeCell ref="H30:J30"/>
    <mergeCell ref="K30:M30"/>
    <mergeCell ref="N30:P30"/>
    <mergeCell ref="Q30:S30"/>
    <mergeCell ref="T30:V30"/>
    <mergeCell ref="W30:Y30"/>
    <mergeCell ref="Z30:AB30"/>
    <mergeCell ref="AC30:AE30"/>
    <mergeCell ref="H29:J29"/>
    <mergeCell ref="K29:M29"/>
    <mergeCell ref="N29:P29"/>
    <mergeCell ref="Q29:S29"/>
    <mergeCell ref="T29:V29"/>
    <mergeCell ref="W29:Y29"/>
    <mergeCell ref="Z27:AB27"/>
    <mergeCell ref="AC27:AE27"/>
    <mergeCell ref="H28:J28"/>
    <mergeCell ref="K28:M28"/>
    <mergeCell ref="N28:P28"/>
    <mergeCell ref="Q28:S28"/>
    <mergeCell ref="T28:V28"/>
    <mergeCell ref="W28:Y28"/>
    <mergeCell ref="Z28:AB28"/>
    <mergeCell ref="AC28:AE28"/>
    <mergeCell ref="H27:J27"/>
    <mergeCell ref="K27:M27"/>
    <mergeCell ref="N27:P27"/>
    <mergeCell ref="Q27:S27"/>
    <mergeCell ref="T27:V27"/>
    <mergeCell ref="W27:Y27"/>
    <mergeCell ref="Z25:AB25"/>
    <mergeCell ref="AC25:AE25"/>
    <mergeCell ref="H26:J26"/>
    <mergeCell ref="K26:M26"/>
    <mergeCell ref="N26:P26"/>
    <mergeCell ref="Q26:S26"/>
    <mergeCell ref="T26:V26"/>
    <mergeCell ref="W26:Y26"/>
    <mergeCell ref="Z26:AB26"/>
    <mergeCell ref="AC26:AE26"/>
    <mergeCell ref="H25:J25"/>
    <mergeCell ref="K25:M25"/>
    <mergeCell ref="N25:P25"/>
    <mergeCell ref="Q25:S25"/>
    <mergeCell ref="T25:V25"/>
    <mergeCell ref="W25:Y25"/>
    <mergeCell ref="Z23:AB23"/>
    <mergeCell ref="AC23:AE23"/>
    <mergeCell ref="H24:J24"/>
    <mergeCell ref="K24:M24"/>
    <mergeCell ref="N24:P24"/>
    <mergeCell ref="Q24:S24"/>
    <mergeCell ref="T24:V24"/>
    <mergeCell ref="W24:Y24"/>
    <mergeCell ref="Z24:AB24"/>
    <mergeCell ref="AC24:AE24"/>
    <mergeCell ref="H23:J23"/>
    <mergeCell ref="K23:M23"/>
    <mergeCell ref="N23:P23"/>
    <mergeCell ref="Q23:S23"/>
    <mergeCell ref="T23:V23"/>
    <mergeCell ref="W23:Y23"/>
    <mergeCell ref="Z21:AB21"/>
    <mergeCell ref="AC21:AE21"/>
    <mergeCell ref="H22:J22"/>
    <mergeCell ref="K22:M22"/>
    <mergeCell ref="N22:P22"/>
    <mergeCell ref="Q22:S22"/>
    <mergeCell ref="T22:V22"/>
    <mergeCell ref="W22:Y22"/>
    <mergeCell ref="Z22:AB22"/>
    <mergeCell ref="AC22:AE22"/>
    <mergeCell ref="H21:J21"/>
    <mergeCell ref="K21:M21"/>
    <mergeCell ref="N21:P21"/>
    <mergeCell ref="Q21:S21"/>
    <mergeCell ref="T21:V21"/>
    <mergeCell ref="W21:Y21"/>
    <mergeCell ref="Z19:AB19"/>
    <mergeCell ref="AC19:AE19"/>
    <mergeCell ref="H20:J20"/>
    <mergeCell ref="K20:M20"/>
    <mergeCell ref="N20:P20"/>
    <mergeCell ref="Q20:S20"/>
    <mergeCell ref="T20:V20"/>
    <mergeCell ref="W20:Y20"/>
    <mergeCell ref="Z20:AB20"/>
    <mergeCell ref="AC20:AE20"/>
    <mergeCell ref="H19:J19"/>
    <mergeCell ref="K19:M19"/>
    <mergeCell ref="N19:P19"/>
    <mergeCell ref="Q19:S19"/>
    <mergeCell ref="T19:V19"/>
    <mergeCell ref="W19:Y19"/>
    <mergeCell ref="AC17:AE17"/>
    <mergeCell ref="H18:J18"/>
    <mergeCell ref="K18:M18"/>
    <mergeCell ref="N18:P18"/>
    <mergeCell ref="Q18:S18"/>
    <mergeCell ref="T18:V18"/>
    <mergeCell ref="W18:Y18"/>
    <mergeCell ref="Z18:AB18"/>
    <mergeCell ref="AC18:AE18"/>
    <mergeCell ref="Z16:AB16"/>
    <mergeCell ref="AC16:AE16"/>
    <mergeCell ref="C17:G17"/>
    <mergeCell ref="H17:J17"/>
    <mergeCell ref="K17:M17"/>
    <mergeCell ref="N17:P17"/>
    <mergeCell ref="Q17:S17"/>
    <mergeCell ref="T17:V17"/>
    <mergeCell ref="W17:Y17"/>
    <mergeCell ref="Z17:AB17"/>
    <mergeCell ref="H16:J16"/>
    <mergeCell ref="K16:M16"/>
    <mergeCell ref="N16:P16"/>
    <mergeCell ref="Q16:S16"/>
    <mergeCell ref="T16:V16"/>
    <mergeCell ref="W16:Y16"/>
    <mergeCell ref="Z14:AB14"/>
    <mergeCell ref="AC14:AE14"/>
    <mergeCell ref="H15:J15"/>
    <mergeCell ref="K15:M15"/>
    <mergeCell ref="N15:P15"/>
    <mergeCell ref="Q15:S15"/>
    <mergeCell ref="T15:V15"/>
    <mergeCell ref="W15:Y15"/>
    <mergeCell ref="Z15:AB15"/>
    <mergeCell ref="AC15:AE15"/>
    <mergeCell ref="H14:J14"/>
    <mergeCell ref="K14:M14"/>
    <mergeCell ref="N14:P14"/>
    <mergeCell ref="Q14:S14"/>
    <mergeCell ref="T14:V14"/>
    <mergeCell ref="W14:Y14"/>
    <mergeCell ref="Z12:AB12"/>
    <mergeCell ref="AC12:AE12"/>
    <mergeCell ref="H13:J13"/>
    <mergeCell ref="K13:M13"/>
    <mergeCell ref="N13:P13"/>
    <mergeCell ref="Q13:S13"/>
    <mergeCell ref="T13:V13"/>
    <mergeCell ref="W13:Y13"/>
    <mergeCell ref="Z13:AB13"/>
    <mergeCell ref="AC13:AE13"/>
    <mergeCell ref="H12:J12"/>
    <mergeCell ref="K12:M12"/>
    <mergeCell ref="N12:P12"/>
    <mergeCell ref="Q12:S12"/>
    <mergeCell ref="T12:V12"/>
    <mergeCell ref="W12:Y12"/>
    <mergeCell ref="Z10:AB10"/>
    <mergeCell ref="AC10:AE10"/>
    <mergeCell ref="H11:J11"/>
    <mergeCell ref="K11:M11"/>
    <mergeCell ref="N11:P11"/>
    <mergeCell ref="Q11:S11"/>
    <mergeCell ref="T11:V11"/>
    <mergeCell ref="W11:Y11"/>
    <mergeCell ref="Z11:AB11"/>
    <mergeCell ref="AC11:AE11"/>
    <mergeCell ref="W7:Y9"/>
    <mergeCell ref="Z7:AB9"/>
    <mergeCell ref="AC7:AE9"/>
    <mergeCell ref="C10:G10"/>
    <mergeCell ref="H10:J10"/>
    <mergeCell ref="K10:M10"/>
    <mergeCell ref="N10:P10"/>
    <mergeCell ref="Q10:S10"/>
    <mergeCell ref="T10:V10"/>
    <mergeCell ref="W10:Y10"/>
    <mergeCell ref="C7:D7"/>
    <mergeCell ref="H7:J9"/>
    <mergeCell ref="K7:M9"/>
    <mergeCell ref="N7:P9"/>
    <mergeCell ref="Q7:S9"/>
    <mergeCell ref="T7:V9"/>
    <mergeCell ref="AC5:AE5"/>
    <mergeCell ref="C6:D6"/>
    <mergeCell ref="H6:J6"/>
    <mergeCell ref="K6:M6"/>
    <mergeCell ref="N6:P6"/>
    <mergeCell ref="Q6:S6"/>
    <mergeCell ref="T6:V6"/>
    <mergeCell ref="W6:Y6"/>
    <mergeCell ref="Z6:AB6"/>
    <mergeCell ref="AC6:AE6"/>
    <mergeCell ref="B2:B116"/>
    <mergeCell ref="C2:AE4"/>
    <mergeCell ref="C5:D5"/>
    <mergeCell ref="H5:J5"/>
    <mergeCell ref="K5:M5"/>
    <mergeCell ref="N5:P5"/>
    <mergeCell ref="Q5:S5"/>
    <mergeCell ref="T5:V5"/>
    <mergeCell ref="W5:Y5"/>
    <mergeCell ref="Z5:AB5"/>
  </mergeCells>
  <conditionalFormatting sqref="H43:H62">
    <cfRule type="expression" dxfId="168" priority="128">
      <formula>$BN$324</formula>
    </cfRule>
  </conditionalFormatting>
  <conditionalFormatting sqref="H395:H412">
    <cfRule type="expression" dxfId="167" priority="120">
      <formula>$BN$324</formula>
    </cfRule>
  </conditionalFormatting>
  <conditionalFormatting sqref="H14:J14 H26:J28">
    <cfRule type="expression" dxfId="166" priority="144">
      <formula>$BN$309</formula>
    </cfRule>
  </conditionalFormatting>
  <conditionalFormatting sqref="H14:J14">
    <cfRule type="expression" dxfId="165" priority="24">
      <formula>$BN$325</formula>
    </cfRule>
  </conditionalFormatting>
  <conditionalFormatting sqref="H16:J16">
    <cfRule type="expression" dxfId="164" priority="162">
      <formula>$BN$329</formula>
    </cfRule>
  </conditionalFormatting>
  <conditionalFormatting sqref="H25:J25">
    <cfRule type="expression" dxfId="163" priority="145">
      <formula>$BN$312</formula>
    </cfRule>
  </conditionalFormatting>
  <conditionalFormatting sqref="H35:J38 H41:J41 H43:H60 H65:J65 H67:J67 H89:J89">
    <cfRule type="expression" dxfId="162" priority="26">
      <formula>$BN$325</formula>
    </cfRule>
  </conditionalFormatting>
  <conditionalFormatting sqref="H35:J39 H41:J41 H65:J65 H67:J67 H417:J417 H419:J419 H450:J450 H514:J514">
    <cfRule type="expression" dxfId="161" priority="154">
      <formula>$BN$324</formula>
    </cfRule>
  </conditionalFormatting>
  <conditionalFormatting sqref="H39:J39">
    <cfRule type="expression" dxfId="160" priority="34">
      <formula>$BN$312</formula>
    </cfRule>
  </conditionalFormatting>
  <conditionalFormatting sqref="H72:J73">
    <cfRule type="expression" dxfId="159" priority="117">
      <formula>$BN$332</formula>
    </cfRule>
  </conditionalFormatting>
  <conditionalFormatting sqref="H74:J74">
    <cfRule type="expression" dxfId="158" priority="106">
      <formula>$BN$338</formula>
    </cfRule>
  </conditionalFormatting>
  <conditionalFormatting sqref="H77:J77">
    <cfRule type="expression" dxfId="157" priority="58">
      <formula>$BN$347</formula>
    </cfRule>
  </conditionalFormatting>
  <conditionalFormatting sqref="H89:J89">
    <cfRule type="expression" dxfId="156" priority="146">
      <formula>$BN$321</formula>
    </cfRule>
  </conditionalFormatting>
  <conditionalFormatting sqref="H91:J91">
    <cfRule type="expression" dxfId="154" priority="25">
      <formula>$BN$325</formula>
    </cfRule>
    <cfRule type="expression" dxfId="155" priority="72">
      <formula>$BN$335</formula>
    </cfRule>
  </conditionalFormatting>
  <conditionalFormatting sqref="H98:J98">
    <cfRule type="expression" dxfId="153" priority="104">
      <formula>$BN$340</formula>
    </cfRule>
  </conditionalFormatting>
  <conditionalFormatting sqref="H99:J99">
    <cfRule type="expression" dxfId="152" priority="88">
      <formula>$BN$342</formula>
    </cfRule>
  </conditionalFormatting>
  <conditionalFormatting sqref="H106:J106">
    <cfRule type="expression" dxfId="151" priority="96">
      <formula>$BN$341</formula>
    </cfRule>
  </conditionalFormatting>
  <conditionalFormatting sqref="H107:J107">
    <cfRule type="expression" dxfId="150" priority="80">
      <formula>$BN$343</formula>
    </cfRule>
  </conditionalFormatting>
  <conditionalFormatting sqref="H387:J393">
    <cfRule type="expression" dxfId="149" priority="118">
      <formula>$BN$324</formula>
    </cfRule>
  </conditionalFormatting>
  <conditionalFormatting sqref="H486:J491">
    <cfRule type="expression" dxfId="148" priority="107">
      <formula>$BN$324</formula>
    </cfRule>
  </conditionalFormatting>
  <conditionalFormatting sqref="K43:K62">
    <cfRule type="expression" dxfId="147" priority="129">
      <formula>$BO$324</formula>
    </cfRule>
  </conditionalFormatting>
  <conditionalFormatting sqref="K395:K412">
    <cfRule type="expression" dxfId="146" priority="121">
      <formula>$BO$324</formula>
    </cfRule>
  </conditionalFormatting>
  <conditionalFormatting sqref="K14:M14">
    <cfRule type="expression" dxfId="144" priority="23">
      <formula>$BO$325</formula>
    </cfRule>
    <cfRule type="expression" dxfId="145" priority="136">
      <formula>$BO$309</formula>
    </cfRule>
  </conditionalFormatting>
  <conditionalFormatting sqref="K16:M16">
    <cfRule type="expression" dxfId="143" priority="163">
      <formula>$BO$329</formula>
    </cfRule>
  </conditionalFormatting>
  <conditionalFormatting sqref="K25:M25">
    <cfRule type="expression" dxfId="142" priority="50">
      <formula>$BO$312</formula>
    </cfRule>
  </conditionalFormatting>
  <conditionalFormatting sqref="K26:M28">
    <cfRule type="expression" dxfId="141" priority="44">
      <formula>$BO$309</formula>
    </cfRule>
  </conditionalFormatting>
  <conditionalFormatting sqref="K35:M38 K41:M41 K43:K60 K65:M65 K67:M67">
    <cfRule type="expression" dxfId="140" priority="22">
      <formula>$BO$325</formula>
    </cfRule>
  </conditionalFormatting>
  <conditionalFormatting sqref="K35:M39 K41:M41 K65:M65 K67:M67 K389:AB393 K417:M417 K419:AB419 K450:AB450 K514:M514">
    <cfRule type="expression" dxfId="139" priority="155">
      <formula>$BO$324</formula>
    </cfRule>
  </conditionalFormatting>
  <conditionalFormatting sqref="K39:M39">
    <cfRule type="expression" dxfId="138" priority="33">
      <formula>$BO$312</formula>
    </cfRule>
  </conditionalFormatting>
  <conditionalFormatting sqref="K72:M73">
    <cfRule type="expression" dxfId="137" priority="116">
      <formula>$BO$332</formula>
    </cfRule>
  </conditionalFormatting>
  <conditionalFormatting sqref="K74:M74">
    <cfRule type="expression" dxfId="136" priority="105">
      <formula>$BO$338</formula>
    </cfRule>
  </conditionalFormatting>
  <conditionalFormatting sqref="K77:M77">
    <cfRule type="expression" dxfId="135" priority="57">
      <formula>$BO$347</formula>
    </cfRule>
  </conditionalFormatting>
  <conditionalFormatting sqref="K89:M89">
    <cfRule type="expression" dxfId="133" priority="21">
      <formula>$BO$325</formula>
    </cfRule>
    <cfRule type="expression" dxfId="134" priority="147">
      <formula>$BO$321</formula>
    </cfRule>
  </conditionalFormatting>
  <conditionalFormatting sqref="K91:M91">
    <cfRule type="expression" dxfId="132" priority="12">
      <formula>$BO$325</formula>
    </cfRule>
    <cfRule type="expression" dxfId="130" priority="20">
      <formula>$BO$325</formula>
    </cfRule>
    <cfRule type="expression" dxfId="131" priority="71">
      <formula>$BO$335</formula>
    </cfRule>
  </conditionalFormatting>
  <conditionalFormatting sqref="K98:M98">
    <cfRule type="expression" dxfId="129" priority="103">
      <formula>$BO$340</formula>
    </cfRule>
  </conditionalFormatting>
  <conditionalFormatting sqref="K99:M99">
    <cfRule type="expression" dxfId="128" priority="87">
      <formula>$BO$342</formula>
    </cfRule>
  </conditionalFormatting>
  <conditionalFormatting sqref="K106:M106">
    <cfRule type="expression" dxfId="127" priority="95">
      <formula>$BO$341</formula>
    </cfRule>
  </conditionalFormatting>
  <conditionalFormatting sqref="K107:M107">
    <cfRule type="expression" dxfId="126" priority="79">
      <formula>$BO$343</formula>
    </cfRule>
  </conditionalFormatting>
  <conditionalFormatting sqref="K387:M388">
    <cfRule type="expression" dxfId="125" priority="119">
      <formula>$BO$324</formula>
    </cfRule>
  </conditionalFormatting>
  <conditionalFormatting sqref="K486:M491">
    <cfRule type="expression" dxfId="124" priority="108">
      <formula>$BO$324</formula>
    </cfRule>
  </conditionalFormatting>
  <conditionalFormatting sqref="N43:N62">
    <cfRule type="expression" dxfId="123" priority="130">
      <formula>$BP$324</formula>
    </cfRule>
  </conditionalFormatting>
  <conditionalFormatting sqref="N395:N412">
    <cfRule type="expression" dxfId="122" priority="122">
      <formula>$BP$324</formula>
    </cfRule>
  </conditionalFormatting>
  <conditionalFormatting sqref="N14:P14">
    <cfRule type="expression" dxfId="120" priority="16">
      <formula>$BP$325</formula>
    </cfRule>
    <cfRule type="expression" dxfId="121" priority="137">
      <formula>$BP$309</formula>
    </cfRule>
  </conditionalFormatting>
  <conditionalFormatting sqref="N16:P16">
    <cfRule type="expression" dxfId="119" priority="164">
      <formula>$BP$329</formula>
    </cfRule>
  </conditionalFormatting>
  <conditionalFormatting sqref="N25:P25">
    <cfRule type="expression" dxfId="118" priority="49">
      <formula>$BP$312</formula>
    </cfRule>
  </conditionalFormatting>
  <conditionalFormatting sqref="N26:P28">
    <cfRule type="expression" dxfId="117" priority="43">
      <formula>$BP$309</formula>
    </cfRule>
  </conditionalFormatting>
  <conditionalFormatting sqref="N35:P38 N41:P41 N43:N60 N65:P67">
    <cfRule type="expression" dxfId="116" priority="19">
      <formula>$BP$325</formula>
    </cfRule>
  </conditionalFormatting>
  <conditionalFormatting sqref="N35:P39 N41:P41 N65:P65 N67:P67 N417:AB417 N488:P491 N514:P514">
    <cfRule type="expression" dxfId="115" priority="156">
      <formula>$BP$324</formula>
    </cfRule>
  </conditionalFormatting>
  <conditionalFormatting sqref="N39:P39">
    <cfRule type="expression" dxfId="114" priority="32">
      <formula>$BP$312</formula>
    </cfRule>
  </conditionalFormatting>
  <conditionalFormatting sqref="N72:P73">
    <cfRule type="expression" dxfId="113" priority="115">
      <formula>$BP$332</formula>
    </cfRule>
  </conditionalFormatting>
  <conditionalFormatting sqref="N74:P74">
    <cfRule type="expression" dxfId="112" priority="64">
      <formula>$BP$338</formula>
    </cfRule>
  </conditionalFormatting>
  <conditionalFormatting sqref="N77:P77">
    <cfRule type="expression" dxfId="111" priority="56">
      <formula>$BP$347</formula>
    </cfRule>
  </conditionalFormatting>
  <conditionalFormatting sqref="N89:P89 H512:AE512">
    <cfRule type="expression" dxfId="110" priority="148">
      <formula>$BP$321</formula>
    </cfRule>
  </conditionalFormatting>
  <conditionalFormatting sqref="N89:P89">
    <cfRule type="expression" dxfId="109" priority="18">
      <formula>$BP$325</formula>
    </cfRule>
  </conditionalFormatting>
  <conditionalFormatting sqref="N91:P91">
    <cfRule type="expression" dxfId="107" priority="17">
      <formula>$BP$325</formula>
    </cfRule>
    <cfRule type="expression" dxfId="108" priority="70">
      <formula>$BP$335</formula>
    </cfRule>
  </conditionalFormatting>
  <conditionalFormatting sqref="N98:P98">
    <cfRule type="expression" dxfId="106" priority="102">
      <formula>$BP$340</formula>
    </cfRule>
  </conditionalFormatting>
  <conditionalFormatting sqref="N99:P99">
    <cfRule type="expression" dxfId="105" priority="86">
      <formula>$BP$342</formula>
    </cfRule>
  </conditionalFormatting>
  <conditionalFormatting sqref="N106:P106">
    <cfRule type="expression" dxfId="104" priority="94">
      <formula>$BP$341</formula>
    </cfRule>
  </conditionalFormatting>
  <conditionalFormatting sqref="N107:P107">
    <cfRule type="expression" dxfId="103" priority="78">
      <formula>$BP$343</formula>
    </cfRule>
  </conditionalFormatting>
  <conditionalFormatting sqref="Q43:Q62">
    <cfRule type="expression" dxfId="102" priority="131">
      <formula>$BQ$324</formula>
    </cfRule>
  </conditionalFormatting>
  <conditionalFormatting sqref="Q395:Q412">
    <cfRule type="expression" dxfId="101" priority="123">
      <formula>$BQ$324</formula>
    </cfRule>
  </conditionalFormatting>
  <conditionalFormatting sqref="Q14:S14">
    <cfRule type="expression" dxfId="99" priority="15">
      <formula>$BQ$325</formula>
    </cfRule>
    <cfRule type="expression" dxfId="100" priority="138">
      <formula>$BQ$309</formula>
    </cfRule>
  </conditionalFormatting>
  <conditionalFormatting sqref="Q16:S16">
    <cfRule type="expression" dxfId="98" priority="165">
      <formula>$BQ$329</formula>
    </cfRule>
  </conditionalFormatting>
  <conditionalFormatting sqref="Q25:S25">
    <cfRule type="expression" dxfId="97" priority="48">
      <formula>$BQ$312</formula>
    </cfRule>
  </conditionalFormatting>
  <conditionalFormatting sqref="Q26:S28">
    <cfRule type="expression" dxfId="96" priority="42">
      <formula>$BQ$309</formula>
    </cfRule>
  </conditionalFormatting>
  <conditionalFormatting sqref="Q35:S36">
    <cfRule type="expression" dxfId="95" priority="38">
      <formula>$BQ$324</formula>
    </cfRule>
  </conditionalFormatting>
  <conditionalFormatting sqref="Q35:S38 Q41:S41 Q43:Q60 Q65:S67 Q89:S89">
    <cfRule type="expression" dxfId="94" priority="14">
      <formula>$BQ$325</formula>
    </cfRule>
  </conditionalFormatting>
  <conditionalFormatting sqref="Q37:S39 Q41:S41 Q65:S65 Q67:S67 Q488:S491 Q514:S514">
    <cfRule type="expression" dxfId="93" priority="157">
      <formula>$BQ$324</formula>
    </cfRule>
  </conditionalFormatting>
  <conditionalFormatting sqref="Q39:S39">
    <cfRule type="expression" dxfId="92" priority="31">
      <formula>$BQ$312</formula>
    </cfRule>
  </conditionalFormatting>
  <conditionalFormatting sqref="Q72:S73">
    <cfRule type="expression" dxfId="91" priority="114">
      <formula>$BQ$332</formula>
    </cfRule>
  </conditionalFormatting>
  <conditionalFormatting sqref="Q74:S74">
    <cfRule type="expression" dxfId="90" priority="63">
      <formula>$BQ$338</formula>
    </cfRule>
  </conditionalFormatting>
  <conditionalFormatting sqref="Q77:S77">
    <cfRule type="expression" dxfId="89" priority="55">
      <formula>$BQ$347</formula>
    </cfRule>
  </conditionalFormatting>
  <conditionalFormatting sqref="Q89:S89">
    <cfRule type="expression" dxfId="88" priority="149">
      <formula>$BQ$321</formula>
    </cfRule>
  </conditionalFormatting>
  <conditionalFormatting sqref="Q91:S91">
    <cfRule type="expression" dxfId="86" priority="13">
      <formula>$BQ$325</formula>
    </cfRule>
    <cfRule type="expression" dxfId="87" priority="69">
      <formula>$BQ$335</formula>
    </cfRule>
  </conditionalFormatting>
  <conditionalFormatting sqref="Q98:S98">
    <cfRule type="expression" dxfId="85" priority="101">
      <formula>$BQ$340</formula>
    </cfRule>
  </conditionalFormatting>
  <conditionalFormatting sqref="Q99:S99">
    <cfRule type="expression" dxfId="84" priority="85">
      <formula>$BQ$342</formula>
    </cfRule>
  </conditionalFormatting>
  <conditionalFormatting sqref="Q106:S106">
    <cfRule type="expression" dxfId="83" priority="93">
      <formula>$BQ$341</formula>
    </cfRule>
  </conditionalFormatting>
  <conditionalFormatting sqref="Q107:S107">
    <cfRule type="expression" dxfId="82" priority="77">
      <formula>$BQ$343</formula>
    </cfRule>
  </conditionalFormatting>
  <conditionalFormatting sqref="T43:T62">
    <cfRule type="expression" dxfId="81" priority="132">
      <formula>$BR$324</formula>
    </cfRule>
  </conditionalFormatting>
  <conditionalFormatting sqref="T14:V14">
    <cfRule type="expression" dxfId="80" priority="11">
      <formula>$BR$325</formula>
    </cfRule>
    <cfRule type="expression" dxfId="79" priority="139">
      <formula>$BR$309</formula>
    </cfRule>
  </conditionalFormatting>
  <conditionalFormatting sqref="T16:V16">
    <cfRule type="expression" dxfId="78" priority="166">
      <formula>$BR$329</formula>
    </cfRule>
  </conditionalFormatting>
  <conditionalFormatting sqref="T25:V25">
    <cfRule type="expression" dxfId="77" priority="47">
      <formula>$BR$312</formula>
    </cfRule>
  </conditionalFormatting>
  <conditionalFormatting sqref="T26:V28">
    <cfRule type="expression" dxfId="76" priority="41">
      <formula>$BR$309</formula>
    </cfRule>
  </conditionalFormatting>
  <conditionalFormatting sqref="T35:V36">
    <cfRule type="expression" dxfId="75" priority="37">
      <formula>$BR$324</formula>
    </cfRule>
  </conditionalFormatting>
  <conditionalFormatting sqref="T35:V38 T41:V41 T43:T60 T65:V67 T89:V89">
    <cfRule type="expression" dxfId="74" priority="10">
      <formula>$BR$325</formula>
    </cfRule>
  </conditionalFormatting>
  <conditionalFormatting sqref="T37:V39 T41:V41 T65:V65 T67:V67 T69:V69 T395:T412 T488:V492 T514:V514">
    <cfRule type="expression" dxfId="73" priority="158">
      <formula>$BR$324</formula>
    </cfRule>
  </conditionalFormatting>
  <conditionalFormatting sqref="T39:V39">
    <cfRule type="expression" dxfId="72" priority="30">
      <formula>$BR$312</formula>
    </cfRule>
  </conditionalFormatting>
  <conditionalFormatting sqref="T72:V73">
    <cfRule type="expression" dxfId="71" priority="113">
      <formula>$BR$332</formula>
    </cfRule>
  </conditionalFormatting>
  <conditionalFormatting sqref="T74:V74">
    <cfRule type="expression" dxfId="70" priority="62">
      <formula>$BR$338</formula>
    </cfRule>
  </conditionalFormatting>
  <conditionalFormatting sqref="T77:V77">
    <cfRule type="expression" dxfId="69" priority="54">
      <formula>$BR$347</formula>
    </cfRule>
  </conditionalFormatting>
  <conditionalFormatting sqref="T89:V89">
    <cfRule type="expression" dxfId="68" priority="150">
      <formula>$BR$321</formula>
    </cfRule>
  </conditionalFormatting>
  <conditionalFormatting sqref="T91:V91">
    <cfRule type="expression" dxfId="66" priority="9">
      <formula>$BR$325</formula>
    </cfRule>
    <cfRule type="expression" dxfId="67" priority="68">
      <formula>$BR$335</formula>
    </cfRule>
  </conditionalFormatting>
  <conditionalFormatting sqref="T98:V98">
    <cfRule type="expression" dxfId="65" priority="100">
      <formula>$BR$340</formula>
    </cfRule>
  </conditionalFormatting>
  <conditionalFormatting sqref="T99:V99">
    <cfRule type="expression" dxfId="64" priority="84">
      <formula>$BR$342</formula>
    </cfRule>
  </conditionalFormatting>
  <conditionalFormatting sqref="T106:V106">
    <cfRule type="expression" dxfId="63" priority="92">
      <formula>$BR$341</formula>
    </cfRule>
  </conditionalFormatting>
  <conditionalFormatting sqref="T107:V107">
    <cfRule type="expression" dxfId="62" priority="76">
      <formula>$BR$343</formula>
    </cfRule>
  </conditionalFormatting>
  <conditionalFormatting sqref="T420:V420">
    <cfRule type="expression" dxfId="61" priority="124">
      <formula>$BR$324</formula>
    </cfRule>
  </conditionalFormatting>
  <conditionalFormatting sqref="W43:W62">
    <cfRule type="expression" dxfId="60" priority="133">
      <formula>$BS$324</formula>
    </cfRule>
  </conditionalFormatting>
  <conditionalFormatting sqref="W395:W412">
    <cfRule type="expression" dxfId="59" priority="125">
      <formula>$BS$324</formula>
    </cfRule>
  </conditionalFormatting>
  <conditionalFormatting sqref="W14:Y14">
    <cfRule type="expression" dxfId="57" priority="8">
      <formula>$BS$325</formula>
    </cfRule>
    <cfRule type="expression" dxfId="58" priority="140">
      <formula>$BS$309</formula>
    </cfRule>
  </conditionalFormatting>
  <conditionalFormatting sqref="W16:Y16">
    <cfRule type="expression" dxfId="56" priority="167">
      <formula>$BS$329</formula>
    </cfRule>
  </conditionalFormatting>
  <conditionalFormatting sqref="W25:Y25">
    <cfRule type="expression" dxfId="55" priority="46">
      <formula>$BS$312</formula>
    </cfRule>
  </conditionalFormatting>
  <conditionalFormatting sqref="W26:Y28">
    <cfRule type="expression" dxfId="54" priority="40">
      <formula>$BS$309</formula>
    </cfRule>
  </conditionalFormatting>
  <conditionalFormatting sqref="W35:Y36">
    <cfRule type="expression" dxfId="53" priority="36">
      <formula>$BS$324</formula>
    </cfRule>
  </conditionalFormatting>
  <conditionalFormatting sqref="W35:Y38 W41:Y41 W43:W60 W65:Y67 W89:Y89">
    <cfRule type="expression" dxfId="52" priority="7">
      <formula>$BS$325</formula>
    </cfRule>
  </conditionalFormatting>
  <conditionalFormatting sqref="W37:Y39 W41:Y41 W65:Y65 W67:Y67 W514:AB514">
    <cfRule type="expression" dxfId="51" priority="159">
      <formula>$BS$324</formula>
    </cfRule>
  </conditionalFormatting>
  <conditionalFormatting sqref="W39:Y39">
    <cfRule type="expression" dxfId="50" priority="29">
      <formula>$BS$312</formula>
    </cfRule>
  </conditionalFormatting>
  <conditionalFormatting sqref="W72:Y73">
    <cfRule type="expression" dxfId="49" priority="112">
      <formula>$BS$332</formula>
    </cfRule>
  </conditionalFormatting>
  <conditionalFormatting sqref="W74:Y74">
    <cfRule type="expression" dxfId="48" priority="61">
      <formula>$BS$338</formula>
    </cfRule>
  </conditionalFormatting>
  <conditionalFormatting sqref="W77:Y77">
    <cfRule type="expression" dxfId="47" priority="53">
      <formula>$BS$347</formula>
    </cfRule>
  </conditionalFormatting>
  <conditionalFormatting sqref="W89:Y89">
    <cfRule type="expression" dxfId="46" priority="151">
      <formula>$BS$321</formula>
    </cfRule>
  </conditionalFormatting>
  <conditionalFormatting sqref="W91:Y91">
    <cfRule type="expression" dxfId="44" priority="6">
      <formula>$BS$325</formula>
    </cfRule>
    <cfRule type="expression" dxfId="45" priority="67">
      <formula>$BS$335</formula>
    </cfRule>
  </conditionalFormatting>
  <conditionalFormatting sqref="W98:Y98">
    <cfRule type="expression" dxfId="43" priority="99">
      <formula>$BS$340</formula>
    </cfRule>
  </conditionalFormatting>
  <conditionalFormatting sqref="W99:Y99">
    <cfRule type="expression" dxfId="42" priority="83">
      <formula>$BS$342</formula>
    </cfRule>
  </conditionalFormatting>
  <conditionalFormatting sqref="W106:Y106">
    <cfRule type="expression" dxfId="41" priority="91">
      <formula>$BS$341</formula>
    </cfRule>
  </conditionalFormatting>
  <conditionalFormatting sqref="W107:Y107">
    <cfRule type="expression" dxfId="40" priority="75">
      <formula>$BS$343</formula>
    </cfRule>
  </conditionalFormatting>
  <conditionalFormatting sqref="W488:AB491">
    <cfRule type="expression" dxfId="39" priority="1">
      <formula>$BS$324</formula>
    </cfRule>
  </conditionalFormatting>
  <conditionalFormatting sqref="Z43:Z62">
    <cfRule type="expression" dxfId="38" priority="134">
      <formula>$BT$324</formula>
    </cfRule>
  </conditionalFormatting>
  <conditionalFormatting sqref="Z395:Z412">
    <cfRule type="expression" dxfId="37" priority="126">
      <formula>$BT$324</formula>
    </cfRule>
  </conditionalFormatting>
  <conditionalFormatting sqref="Z14:AB14 Z35:AB38 Z41:AB41 Z43:Z60 Z65:AB67 Z89:AB89">
    <cfRule type="expression" dxfId="36" priority="5">
      <formula>$BT$325</formula>
    </cfRule>
  </conditionalFormatting>
  <conditionalFormatting sqref="Z14:AB14">
    <cfRule type="expression" dxfId="35" priority="141">
      <formula>$BT$309</formula>
    </cfRule>
  </conditionalFormatting>
  <conditionalFormatting sqref="Z16:AB16">
    <cfRule type="expression" dxfId="34" priority="168">
      <formula>$BT$329</formula>
    </cfRule>
  </conditionalFormatting>
  <conditionalFormatting sqref="Z25:AB25">
    <cfRule type="expression" dxfId="33" priority="45">
      <formula>$BT$312</formula>
    </cfRule>
  </conditionalFormatting>
  <conditionalFormatting sqref="Z26:AB28">
    <cfRule type="expression" dxfId="32" priority="39">
      <formula>$BT$309</formula>
    </cfRule>
  </conditionalFormatting>
  <conditionalFormatting sqref="Z35:AB36">
    <cfRule type="expression" dxfId="31" priority="35">
      <formula>$BT$324</formula>
    </cfRule>
  </conditionalFormatting>
  <conditionalFormatting sqref="Z37:AB39 Z41:AB41 Z65:AB65 Z67:AB67">
    <cfRule type="expression" dxfId="30" priority="160">
      <formula>$BT$324</formula>
    </cfRule>
  </conditionalFormatting>
  <conditionalFormatting sqref="Z39:AB39">
    <cfRule type="expression" dxfId="29" priority="28">
      <formula>$BT$312</formula>
    </cfRule>
  </conditionalFormatting>
  <conditionalFormatting sqref="Z72:AB73">
    <cfRule type="expression" dxfId="28" priority="111">
      <formula>$BT$332</formula>
    </cfRule>
  </conditionalFormatting>
  <conditionalFormatting sqref="Z74:AB74">
    <cfRule type="expression" dxfId="27" priority="60">
      <formula>$BT$338</formula>
    </cfRule>
  </conditionalFormatting>
  <conditionalFormatting sqref="Z77:AB77">
    <cfRule type="expression" dxfId="26" priority="52">
      <formula>$BT$347</formula>
    </cfRule>
  </conditionalFormatting>
  <conditionalFormatting sqref="Z89:AB89">
    <cfRule type="expression" dxfId="25" priority="152">
      <formula>$BT$321</formula>
    </cfRule>
  </conditionalFormatting>
  <conditionalFormatting sqref="Z91:AB91">
    <cfRule type="expression" dxfId="24" priority="4">
      <formula>$BT$325</formula>
    </cfRule>
    <cfRule type="expression" dxfId="23" priority="66">
      <formula>$BT$335</formula>
    </cfRule>
  </conditionalFormatting>
  <conditionalFormatting sqref="Z98:AB98">
    <cfRule type="expression" dxfId="22" priority="98">
      <formula>$BT$340</formula>
    </cfRule>
  </conditionalFormatting>
  <conditionalFormatting sqref="Z99:AB99">
    <cfRule type="expression" dxfId="21" priority="82">
      <formula>$BT$342</formula>
    </cfRule>
  </conditionalFormatting>
  <conditionalFormatting sqref="Z106:AB106">
    <cfRule type="expression" dxfId="20" priority="90">
      <formula>$BT$341</formula>
    </cfRule>
  </conditionalFormatting>
  <conditionalFormatting sqref="Z107:AB107">
    <cfRule type="expression" dxfId="19" priority="74">
      <formula>$BT$343</formula>
    </cfRule>
  </conditionalFormatting>
  <conditionalFormatting sqref="AC43:AC62">
    <cfRule type="expression" dxfId="18" priority="135">
      <formula>$BU$324</formula>
    </cfRule>
  </conditionalFormatting>
  <conditionalFormatting sqref="AC14:AE14 AC26:AE28">
    <cfRule type="expression" dxfId="17" priority="143">
      <formula>$BU$309</formula>
    </cfRule>
  </conditionalFormatting>
  <conditionalFormatting sqref="AC14:AE14 AC35:AE38 AC41:AE41 AC43:AC60 AC65:AE67 AC89:AE89">
    <cfRule type="expression" dxfId="16" priority="3">
      <formula>$BU$325</formula>
    </cfRule>
  </conditionalFormatting>
  <conditionalFormatting sqref="AC16:AE16">
    <cfRule type="expression" dxfId="15" priority="169">
      <formula>$BU$329</formula>
    </cfRule>
  </conditionalFormatting>
  <conditionalFormatting sqref="AC25:AE25">
    <cfRule type="expression" dxfId="14" priority="142">
      <formula>$BU$312</formula>
    </cfRule>
  </conditionalFormatting>
  <conditionalFormatting sqref="AC35:AE39 AC41:AE41 AC65:AE65 AC67:AE67 AC389:AE393 AC395:AC412 AC417:AE417 AC419:AE419 AC488:AE491">
    <cfRule type="expression" dxfId="13" priority="161">
      <formula>$BU$324</formula>
    </cfRule>
  </conditionalFormatting>
  <conditionalFormatting sqref="AC39:AE39">
    <cfRule type="expression" dxfId="12" priority="27">
      <formula>$BU$312</formula>
    </cfRule>
  </conditionalFormatting>
  <conditionalFormatting sqref="AC72:AE73">
    <cfRule type="expression" dxfId="11" priority="110">
      <formula>$BU$332</formula>
    </cfRule>
  </conditionalFormatting>
  <conditionalFormatting sqref="AC74:AE74">
    <cfRule type="expression" dxfId="10" priority="59">
      <formula>$BU$338</formula>
    </cfRule>
  </conditionalFormatting>
  <conditionalFormatting sqref="AC77:AE77">
    <cfRule type="expression" dxfId="9" priority="51">
      <formula>$BU$347</formula>
    </cfRule>
  </conditionalFormatting>
  <conditionalFormatting sqref="AC89:AE89">
    <cfRule type="expression" dxfId="8" priority="153">
      <formula>$BU$321</formula>
    </cfRule>
  </conditionalFormatting>
  <conditionalFormatting sqref="AC91:AE91">
    <cfRule type="expression" dxfId="6" priority="2">
      <formula>$BU$325</formula>
    </cfRule>
    <cfRule type="expression" dxfId="7" priority="65">
      <formula>$BU$335</formula>
    </cfRule>
  </conditionalFormatting>
  <conditionalFormatting sqref="AC98:AE98">
    <cfRule type="expression" dxfId="5" priority="97">
      <formula>$BU$340</formula>
    </cfRule>
  </conditionalFormatting>
  <conditionalFormatting sqref="AC99:AE99">
    <cfRule type="expression" dxfId="4" priority="81">
      <formula>$BU$342</formula>
    </cfRule>
  </conditionalFormatting>
  <conditionalFormatting sqref="AC106:AE106">
    <cfRule type="expression" dxfId="3" priority="89">
      <formula>$BU$341</formula>
    </cfRule>
  </conditionalFormatting>
  <conditionalFormatting sqref="AC107:AE107">
    <cfRule type="expression" dxfId="2" priority="73">
      <formula>$BU$343</formula>
    </cfRule>
  </conditionalFormatting>
  <conditionalFormatting sqref="AC450:AE450">
    <cfRule type="expression" dxfId="1" priority="127">
      <formula>$BU$324</formula>
    </cfRule>
  </conditionalFormatting>
  <conditionalFormatting sqref="AC514:AE514">
    <cfRule type="expression" dxfId="0" priority="109">
      <formula>$BU$324</formula>
    </cfRule>
  </conditionalFormatting>
  <dataValidations count="16">
    <dataValidation type="list" allowBlank="1" showInputMessage="1" showErrorMessage="1" sqref="H41:AE41" xr:uid="{89A3F25F-9C16-064F-AE32-088452002641}">
      <formula1>$BD$334:$BD$336</formula1>
    </dataValidation>
    <dataValidation type="list" allowBlank="1" showInputMessage="1" showErrorMessage="1" sqref="H32:AE32" xr:uid="{BF8A763D-840D-5E4A-9415-EF6077A0B519}">
      <formula1>$BV$345:$BV$362</formula1>
    </dataValidation>
    <dataValidation type="list" allowBlank="1" showInputMessage="1" showErrorMessage="1" sqref="H31:AE31" xr:uid="{205F988C-ED8E-7D4E-A5B9-5751E226EC95}">
      <formula1>$CA$306:$CA$340</formula1>
    </dataValidation>
    <dataValidation type="list" allowBlank="1" showInputMessage="1" showErrorMessage="1" sqref="AC12:AE12" xr:uid="{7A992899-DD3D-344B-9E3D-4D980F2A8042}">
      <formula1>$BU$349:$BU$351</formula1>
    </dataValidation>
    <dataValidation type="list" allowBlank="1" showInputMessage="1" showErrorMessage="1" sqref="H14:AE14" xr:uid="{0E43E387-9A79-3048-831E-D0679A32FD22}">
      <formula1>$BS$302:$BS$303</formula1>
    </dataValidation>
    <dataValidation type="list" allowBlank="1" showInputMessage="1" showErrorMessage="1" sqref="H13:AE13" xr:uid="{1F6D803E-D825-A34C-BC86-281F20650E79}">
      <formula1>$BQ$302:$BQ$303</formula1>
    </dataValidation>
    <dataValidation type="list" allowBlank="1" showInputMessage="1" showErrorMessage="1" sqref="H11:AE11" xr:uid="{71F18644-55BC-304D-997D-618DC0620430}">
      <formula1>$BO$302:$BO$303</formula1>
    </dataValidation>
    <dataValidation type="list" allowBlank="1" sqref="H40:AE40" xr:uid="{90256CF9-EF87-B04E-9AF4-8915D110E52C}">
      <formula1>$BD$340:$BD$344</formula1>
    </dataValidation>
    <dataValidation type="list" allowBlank="1" sqref="H37:AE37" xr:uid="{4A4D1D0E-ED34-BF49-9489-7E8B4E28E5A5}">
      <formula1>$BD$348:$BD$357</formula1>
    </dataValidation>
    <dataValidation type="list" allowBlank="1" showInputMessage="1" showErrorMessage="1" sqref="H12:J12" xr:uid="{AC993E82-BFC8-7B4B-802A-350B81749B39}">
      <formula1>$BN$349:$BN$351</formula1>
    </dataValidation>
    <dataValidation type="list" allowBlank="1" showInputMessage="1" showErrorMessage="1" sqref="K12:M12" xr:uid="{076D4423-5F27-C14E-BCBF-6239FB2DFBD5}">
      <formula1>$BO$349:$BO$351</formula1>
    </dataValidation>
    <dataValidation type="list" allowBlank="1" showInputMessage="1" showErrorMessage="1" sqref="N12:P12" xr:uid="{14B61602-952F-2949-A56C-3387EF381B20}">
      <formula1>$BP$349:$BP$351</formula1>
    </dataValidation>
    <dataValidation type="list" allowBlank="1" showInputMessage="1" showErrorMessage="1" sqref="Q12:S12" xr:uid="{F63D4FA6-61FA-9648-BA16-1F1CBEBB5895}">
      <formula1>$BQ$349:$BQ$351</formula1>
    </dataValidation>
    <dataValidation type="list" allowBlank="1" showInputMessage="1" showErrorMessage="1" sqref="T12:V12" xr:uid="{FE859FB3-34EF-C34A-875D-2AE1F5B4885B}">
      <formula1>$BR$349:$BR$351</formula1>
    </dataValidation>
    <dataValidation type="list" allowBlank="1" showInputMessage="1" showErrorMessage="1" sqref="W12:Y12" xr:uid="{4A21D4B2-EC55-7241-8B34-23EE202A4F71}">
      <formula1>$BS$349:$BS$351</formula1>
    </dataValidation>
    <dataValidation type="list" allowBlank="1" showInputMessage="1" showErrorMessage="1" sqref="Z12:AB12" xr:uid="{A25D0926-4FDD-9E45-9FF3-62CC806BE2D4}">
      <formula1>$BT$349:$BT$351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10" orientation="portrait" r:id="rId1"/>
  <rowBreaks count="1" manualBreakCount="1">
    <brk id="117" max="16383" man="1"/>
  </rowBreaks>
  <colBreaks count="1" manualBreakCount="1">
    <brk id="32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Chamaiporn Boontor</dc:creator>
  <cp:lastModifiedBy>Chamaiporn Boontor</cp:lastModifiedBy>
  <dcterms:created xsi:type="dcterms:W3CDTF">2025-11-30T10:36:53Z</dcterms:created>
  <dcterms:modified xsi:type="dcterms:W3CDTF">2025-11-30T10:38:14Z</dcterms:modified>
</cp:coreProperties>
</file>